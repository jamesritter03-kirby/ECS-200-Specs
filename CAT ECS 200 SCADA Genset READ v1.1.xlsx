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https://caterpillar.sharepoint.com/teams/genesysteamgroup/Shared Documents/NGC/ECS SCADA Modbus Publish List/ECS 200/V1.1/"/>
    </mc:Choice>
  </mc:AlternateContent>
  <xr:revisionPtr revIDLastSave="376" documentId="8_{6533649A-B6DB-41B2-8207-32B7D162FEB3}" xr6:coauthVersionLast="47" xr6:coauthVersionMax="47" xr10:uidLastSave="{26AED511-3D47-4E30-8202-43F084725B31}"/>
  <bookViews>
    <workbookView xWindow="-120" yWindow="-120" windowWidth="29040" windowHeight="15720" xr2:uid="{31D89457-D23A-4BAC-9FE5-6342DE8BA939}"/>
  </bookViews>
  <sheets>
    <sheet name="SCADA_Read" sheetId="2" r:id="rId1"/>
    <sheet name="Change History" sheetId="3" r:id="rId2"/>
  </sheets>
  <definedNames>
    <definedName name="_xlnm._FilterDatabase" localSheetId="0" hidden="1">SCADA_Read!$A$5:$J$544</definedName>
    <definedName name="_xlnm.Print_Titles" localSheetId="0">SCADA_Read!$3:$3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45" i="2" l="1"/>
  <c r="L545" i="2" s="1"/>
  <c r="M545" i="2" s="1"/>
  <c r="K7" i="2"/>
  <c r="L7" i="2" s="1"/>
  <c r="M7" i="2" s="1"/>
  <c r="K8" i="2"/>
  <c r="L8" i="2" s="1"/>
  <c r="M8" i="2" s="1"/>
  <c r="K9" i="2"/>
  <c r="L9" i="2" s="1"/>
  <c r="M9" i="2" s="1"/>
  <c r="K10" i="2"/>
  <c r="L10" i="2" s="1"/>
  <c r="M10" i="2" s="1"/>
  <c r="K11" i="2"/>
  <c r="L11" i="2" s="1"/>
  <c r="M11" i="2" s="1"/>
  <c r="K12" i="2"/>
  <c r="L12" i="2" s="1"/>
  <c r="M12" i="2" s="1"/>
  <c r="K13" i="2"/>
  <c r="L13" i="2" s="1"/>
  <c r="M13" i="2" s="1"/>
  <c r="K14" i="2"/>
  <c r="L14" i="2" s="1"/>
  <c r="M14" i="2" s="1"/>
  <c r="K15" i="2"/>
  <c r="L15" i="2" s="1"/>
  <c r="M15" i="2" s="1"/>
  <c r="K16" i="2"/>
  <c r="L16" i="2" s="1"/>
  <c r="M16" i="2" s="1"/>
  <c r="K17" i="2"/>
  <c r="L17" i="2" s="1"/>
  <c r="M17" i="2" s="1"/>
  <c r="K18" i="2"/>
  <c r="L18" i="2" s="1"/>
  <c r="M18" i="2" s="1"/>
  <c r="K19" i="2"/>
  <c r="L19" i="2" s="1"/>
  <c r="M19" i="2" s="1"/>
  <c r="K20" i="2"/>
  <c r="L20" i="2" s="1"/>
  <c r="M20" i="2" s="1"/>
  <c r="K21" i="2"/>
  <c r="L21" i="2" s="1"/>
  <c r="M21" i="2" s="1"/>
  <c r="K22" i="2"/>
  <c r="L22" i="2" s="1"/>
  <c r="M22" i="2" s="1"/>
  <c r="K23" i="2"/>
  <c r="L23" i="2" s="1"/>
  <c r="M23" i="2" s="1"/>
  <c r="K24" i="2"/>
  <c r="L24" i="2" s="1"/>
  <c r="M24" i="2" s="1"/>
  <c r="K25" i="2"/>
  <c r="L25" i="2" s="1"/>
  <c r="M25" i="2" s="1"/>
  <c r="K26" i="2"/>
  <c r="L26" i="2" s="1"/>
  <c r="M26" i="2" s="1"/>
  <c r="K27" i="2"/>
  <c r="L27" i="2" s="1"/>
  <c r="M27" i="2" s="1"/>
  <c r="K28" i="2"/>
  <c r="L28" i="2" s="1"/>
  <c r="M28" i="2" s="1"/>
  <c r="K29" i="2"/>
  <c r="L29" i="2" s="1"/>
  <c r="M29" i="2" s="1"/>
  <c r="K30" i="2"/>
  <c r="L30" i="2" s="1"/>
  <c r="M30" i="2" s="1"/>
  <c r="K31" i="2"/>
  <c r="L31" i="2" s="1"/>
  <c r="M31" i="2" s="1"/>
  <c r="K32" i="2"/>
  <c r="L32" i="2" s="1"/>
  <c r="M32" i="2" s="1"/>
  <c r="K33" i="2"/>
  <c r="L33" i="2" s="1"/>
  <c r="M33" i="2" s="1"/>
  <c r="K34" i="2"/>
  <c r="L34" i="2" s="1"/>
  <c r="M34" i="2" s="1"/>
  <c r="K35" i="2"/>
  <c r="L35" i="2" s="1"/>
  <c r="M35" i="2" s="1"/>
  <c r="K36" i="2"/>
  <c r="L36" i="2" s="1"/>
  <c r="M36" i="2" s="1"/>
  <c r="K37" i="2"/>
  <c r="L37" i="2" s="1"/>
  <c r="M37" i="2" s="1"/>
  <c r="K38" i="2"/>
  <c r="L38" i="2" s="1"/>
  <c r="M38" i="2" s="1"/>
  <c r="K39" i="2"/>
  <c r="L39" i="2" s="1"/>
  <c r="M39" i="2" s="1"/>
  <c r="K40" i="2"/>
  <c r="L40" i="2" s="1"/>
  <c r="M40" i="2" s="1"/>
  <c r="K41" i="2"/>
  <c r="L41" i="2" s="1"/>
  <c r="M41" i="2" s="1"/>
  <c r="K42" i="2"/>
  <c r="L42" i="2" s="1"/>
  <c r="M42" i="2" s="1"/>
  <c r="K43" i="2"/>
  <c r="L43" i="2" s="1"/>
  <c r="M43" i="2" s="1"/>
  <c r="K44" i="2"/>
  <c r="L44" i="2" s="1"/>
  <c r="M44" i="2" s="1"/>
  <c r="K45" i="2"/>
  <c r="L45" i="2" s="1"/>
  <c r="M45" i="2" s="1"/>
  <c r="K46" i="2"/>
  <c r="L46" i="2" s="1"/>
  <c r="M46" i="2" s="1"/>
  <c r="K47" i="2"/>
  <c r="L47" i="2" s="1"/>
  <c r="M47" i="2" s="1"/>
  <c r="K48" i="2"/>
  <c r="L48" i="2" s="1"/>
  <c r="M48" i="2" s="1"/>
  <c r="K49" i="2"/>
  <c r="L49" i="2" s="1"/>
  <c r="M49" i="2" s="1"/>
  <c r="K50" i="2"/>
  <c r="L50" i="2" s="1"/>
  <c r="M50" i="2" s="1"/>
  <c r="K51" i="2"/>
  <c r="L51" i="2" s="1"/>
  <c r="M51" i="2" s="1"/>
  <c r="K52" i="2"/>
  <c r="L52" i="2" s="1"/>
  <c r="M52" i="2" s="1"/>
  <c r="K53" i="2"/>
  <c r="L53" i="2" s="1"/>
  <c r="M53" i="2" s="1"/>
  <c r="K54" i="2"/>
  <c r="L54" i="2" s="1"/>
  <c r="M54" i="2" s="1"/>
  <c r="K55" i="2"/>
  <c r="L55" i="2" s="1"/>
  <c r="M55" i="2" s="1"/>
  <c r="K56" i="2"/>
  <c r="L56" i="2" s="1"/>
  <c r="M56" i="2" s="1"/>
  <c r="K57" i="2"/>
  <c r="L57" i="2" s="1"/>
  <c r="M57" i="2" s="1"/>
  <c r="K58" i="2"/>
  <c r="L58" i="2" s="1"/>
  <c r="M58" i="2" s="1"/>
  <c r="K59" i="2"/>
  <c r="L59" i="2" s="1"/>
  <c r="M59" i="2" s="1"/>
  <c r="K60" i="2"/>
  <c r="L60" i="2" s="1"/>
  <c r="M60" i="2" s="1"/>
  <c r="K61" i="2"/>
  <c r="L61" i="2" s="1"/>
  <c r="M61" i="2" s="1"/>
  <c r="K62" i="2"/>
  <c r="L62" i="2" s="1"/>
  <c r="M62" i="2" s="1"/>
  <c r="K63" i="2"/>
  <c r="L63" i="2" s="1"/>
  <c r="M63" i="2" s="1"/>
  <c r="K64" i="2"/>
  <c r="L64" i="2" s="1"/>
  <c r="M64" i="2" s="1"/>
  <c r="K65" i="2"/>
  <c r="L65" i="2" s="1"/>
  <c r="M65" i="2" s="1"/>
  <c r="K66" i="2"/>
  <c r="L66" i="2" s="1"/>
  <c r="M66" i="2" s="1"/>
  <c r="K67" i="2"/>
  <c r="L67" i="2" s="1"/>
  <c r="M67" i="2" s="1"/>
  <c r="K68" i="2"/>
  <c r="L68" i="2" s="1"/>
  <c r="M68" i="2" s="1"/>
  <c r="K69" i="2"/>
  <c r="L69" i="2" s="1"/>
  <c r="M69" i="2" s="1"/>
  <c r="K70" i="2"/>
  <c r="L70" i="2" s="1"/>
  <c r="M70" i="2" s="1"/>
  <c r="K71" i="2"/>
  <c r="L71" i="2" s="1"/>
  <c r="M71" i="2" s="1"/>
  <c r="K72" i="2"/>
  <c r="L72" i="2" s="1"/>
  <c r="M72" i="2" s="1"/>
  <c r="K73" i="2"/>
  <c r="L73" i="2" s="1"/>
  <c r="M73" i="2" s="1"/>
  <c r="K74" i="2"/>
  <c r="L74" i="2" s="1"/>
  <c r="M74" i="2" s="1"/>
  <c r="K75" i="2"/>
  <c r="L75" i="2" s="1"/>
  <c r="M75" i="2" s="1"/>
  <c r="K76" i="2"/>
  <c r="L76" i="2" s="1"/>
  <c r="M76" i="2" s="1"/>
  <c r="K77" i="2"/>
  <c r="L77" i="2" s="1"/>
  <c r="M77" i="2" s="1"/>
  <c r="K78" i="2"/>
  <c r="L78" i="2" s="1"/>
  <c r="M78" i="2" s="1"/>
  <c r="K79" i="2"/>
  <c r="L79" i="2" s="1"/>
  <c r="M79" i="2" s="1"/>
  <c r="K80" i="2"/>
  <c r="L80" i="2" s="1"/>
  <c r="M80" i="2" s="1"/>
  <c r="K81" i="2"/>
  <c r="L81" i="2" s="1"/>
  <c r="M81" i="2" s="1"/>
  <c r="K82" i="2"/>
  <c r="L82" i="2" s="1"/>
  <c r="M82" i="2" s="1"/>
  <c r="K83" i="2"/>
  <c r="L83" i="2" s="1"/>
  <c r="M83" i="2" s="1"/>
  <c r="K84" i="2"/>
  <c r="L84" i="2" s="1"/>
  <c r="M84" i="2" s="1"/>
  <c r="K85" i="2"/>
  <c r="L85" i="2" s="1"/>
  <c r="M85" i="2" s="1"/>
  <c r="K86" i="2"/>
  <c r="L86" i="2" s="1"/>
  <c r="M86" i="2" s="1"/>
  <c r="K87" i="2"/>
  <c r="L87" i="2" s="1"/>
  <c r="M87" i="2" s="1"/>
  <c r="K88" i="2"/>
  <c r="L88" i="2" s="1"/>
  <c r="M88" i="2" s="1"/>
  <c r="K89" i="2"/>
  <c r="L89" i="2" s="1"/>
  <c r="M89" i="2" s="1"/>
  <c r="K90" i="2"/>
  <c r="L90" i="2" s="1"/>
  <c r="M90" i="2" s="1"/>
  <c r="K91" i="2"/>
  <c r="L91" i="2" s="1"/>
  <c r="M91" i="2" s="1"/>
  <c r="K92" i="2"/>
  <c r="L92" i="2" s="1"/>
  <c r="M92" i="2" s="1"/>
  <c r="K93" i="2"/>
  <c r="L93" i="2" s="1"/>
  <c r="M93" i="2" s="1"/>
  <c r="K94" i="2"/>
  <c r="L94" i="2" s="1"/>
  <c r="M94" i="2" s="1"/>
  <c r="K95" i="2"/>
  <c r="L95" i="2" s="1"/>
  <c r="M95" i="2" s="1"/>
  <c r="K96" i="2"/>
  <c r="L96" i="2" s="1"/>
  <c r="M96" i="2" s="1"/>
  <c r="K97" i="2"/>
  <c r="L97" i="2" s="1"/>
  <c r="M97" i="2" s="1"/>
  <c r="K98" i="2"/>
  <c r="L98" i="2" s="1"/>
  <c r="M98" i="2" s="1"/>
  <c r="K99" i="2"/>
  <c r="L99" i="2" s="1"/>
  <c r="M99" i="2" s="1"/>
  <c r="K100" i="2"/>
  <c r="L100" i="2" s="1"/>
  <c r="M100" i="2" s="1"/>
  <c r="K101" i="2"/>
  <c r="L101" i="2" s="1"/>
  <c r="M101" i="2" s="1"/>
  <c r="K102" i="2"/>
  <c r="L102" i="2" s="1"/>
  <c r="M102" i="2" s="1"/>
  <c r="K103" i="2"/>
  <c r="L103" i="2" s="1"/>
  <c r="M103" i="2" s="1"/>
  <c r="K104" i="2"/>
  <c r="L104" i="2" s="1"/>
  <c r="M104" i="2" s="1"/>
  <c r="K105" i="2"/>
  <c r="L105" i="2" s="1"/>
  <c r="M105" i="2" s="1"/>
  <c r="K106" i="2"/>
  <c r="L106" i="2" s="1"/>
  <c r="M106" i="2" s="1"/>
  <c r="K107" i="2"/>
  <c r="L107" i="2" s="1"/>
  <c r="M107" i="2" s="1"/>
  <c r="K108" i="2"/>
  <c r="L108" i="2" s="1"/>
  <c r="M108" i="2" s="1"/>
  <c r="K109" i="2"/>
  <c r="L109" i="2" s="1"/>
  <c r="M109" i="2" s="1"/>
  <c r="K110" i="2"/>
  <c r="L110" i="2" s="1"/>
  <c r="M110" i="2" s="1"/>
  <c r="K111" i="2"/>
  <c r="L111" i="2" s="1"/>
  <c r="M111" i="2" s="1"/>
  <c r="K112" i="2"/>
  <c r="L112" i="2" s="1"/>
  <c r="M112" i="2" s="1"/>
  <c r="K113" i="2"/>
  <c r="L113" i="2" s="1"/>
  <c r="M113" i="2" s="1"/>
  <c r="K114" i="2"/>
  <c r="L114" i="2" s="1"/>
  <c r="M114" i="2" s="1"/>
  <c r="K115" i="2"/>
  <c r="L115" i="2" s="1"/>
  <c r="M115" i="2" s="1"/>
  <c r="K116" i="2"/>
  <c r="L116" i="2" s="1"/>
  <c r="M116" i="2" s="1"/>
  <c r="K117" i="2"/>
  <c r="L117" i="2" s="1"/>
  <c r="M117" i="2" s="1"/>
  <c r="K118" i="2"/>
  <c r="L118" i="2" s="1"/>
  <c r="M118" i="2" s="1"/>
  <c r="K119" i="2"/>
  <c r="L119" i="2" s="1"/>
  <c r="M119" i="2" s="1"/>
  <c r="K120" i="2"/>
  <c r="L120" i="2" s="1"/>
  <c r="M120" i="2" s="1"/>
  <c r="K121" i="2"/>
  <c r="L121" i="2" s="1"/>
  <c r="M121" i="2" s="1"/>
  <c r="K122" i="2"/>
  <c r="L122" i="2" s="1"/>
  <c r="M122" i="2" s="1"/>
  <c r="K123" i="2"/>
  <c r="L123" i="2" s="1"/>
  <c r="M123" i="2" s="1"/>
  <c r="K124" i="2"/>
  <c r="L124" i="2" s="1"/>
  <c r="M124" i="2" s="1"/>
  <c r="K125" i="2"/>
  <c r="L125" i="2" s="1"/>
  <c r="M125" i="2" s="1"/>
  <c r="K126" i="2"/>
  <c r="L126" i="2" s="1"/>
  <c r="M126" i="2" s="1"/>
  <c r="K127" i="2"/>
  <c r="L127" i="2" s="1"/>
  <c r="M127" i="2" s="1"/>
  <c r="K128" i="2"/>
  <c r="L128" i="2" s="1"/>
  <c r="M128" i="2" s="1"/>
  <c r="K129" i="2"/>
  <c r="L129" i="2" s="1"/>
  <c r="M129" i="2" s="1"/>
  <c r="K130" i="2"/>
  <c r="L130" i="2" s="1"/>
  <c r="M130" i="2" s="1"/>
  <c r="K131" i="2"/>
  <c r="L131" i="2" s="1"/>
  <c r="M131" i="2" s="1"/>
  <c r="K132" i="2"/>
  <c r="L132" i="2" s="1"/>
  <c r="M132" i="2" s="1"/>
  <c r="K133" i="2"/>
  <c r="L133" i="2" s="1"/>
  <c r="M133" i="2" s="1"/>
  <c r="K134" i="2"/>
  <c r="L134" i="2" s="1"/>
  <c r="M134" i="2" s="1"/>
  <c r="K135" i="2"/>
  <c r="L135" i="2" s="1"/>
  <c r="M135" i="2" s="1"/>
  <c r="K136" i="2"/>
  <c r="L136" i="2" s="1"/>
  <c r="M136" i="2" s="1"/>
  <c r="K137" i="2"/>
  <c r="L137" i="2" s="1"/>
  <c r="M137" i="2" s="1"/>
  <c r="K138" i="2"/>
  <c r="L138" i="2" s="1"/>
  <c r="M138" i="2" s="1"/>
  <c r="K139" i="2"/>
  <c r="L139" i="2" s="1"/>
  <c r="M139" i="2" s="1"/>
  <c r="K140" i="2"/>
  <c r="L140" i="2" s="1"/>
  <c r="M140" i="2" s="1"/>
  <c r="K141" i="2"/>
  <c r="L141" i="2" s="1"/>
  <c r="M141" i="2" s="1"/>
  <c r="K142" i="2"/>
  <c r="L142" i="2" s="1"/>
  <c r="M142" i="2" s="1"/>
  <c r="K143" i="2"/>
  <c r="L143" i="2" s="1"/>
  <c r="M143" i="2" s="1"/>
  <c r="K144" i="2"/>
  <c r="L144" i="2" s="1"/>
  <c r="M144" i="2" s="1"/>
  <c r="K145" i="2"/>
  <c r="L145" i="2" s="1"/>
  <c r="M145" i="2" s="1"/>
  <c r="K146" i="2"/>
  <c r="L146" i="2" s="1"/>
  <c r="M146" i="2" s="1"/>
  <c r="K147" i="2"/>
  <c r="L147" i="2" s="1"/>
  <c r="M147" i="2" s="1"/>
  <c r="K148" i="2"/>
  <c r="L148" i="2" s="1"/>
  <c r="M148" i="2" s="1"/>
  <c r="K149" i="2"/>
  <c r="L149" i="2" s="1"/>
  <c r="M149" i="2" s="1"/>
  <c r="K150" i="2"/>
  <c r="L150" i="2" s="1"/>
  <c r="M150" i="2" s="1"/>
  <c r="K151" i="2"/>
  <c r="L151" i="2" s="1"/>
  <c r="M151" i="2" s="1"/>
  <c r="K152" i="2"/>
  <c r="L152" i="2" s="1"/>
  <c r="M152" i="2" s="1"/>
  <c r="K153" i="2"/>
  <c r="L153" i="2" s="1"/>
  <c r="M153" i="2" s="1"/>
  <c r="K154" i="2"/>
  <c r="L154" i="2" s="1"/>
  <c r="M154" i="2" s="1"/>
  <c r="K155" i="2"/>
  <c r="L155" i="2" s="1"/>
  <c r="M155" i="2" s="1"/>
  <c r="K156" i="2"/>
  <c r="L156" i="2" s="1"/>
  <c r="M156" i="2" s="1"/>
  <c r="K157" i="2"/>
  <c r="L157" i="2" s="1"/>
  <c r="M157" i="2" s="1"/>
  <c r="K158" i="2"/>
  <c r="L158" i="2" s="1"/>
  <c r="M158" i="2" s="1"/>
  <c r="K159" i="2"/>
  <c r="L159" i="2" s="1"/>
  <c r="M159" i="2" s="1"/>
  <c r="K160" i="2"/>
  <c r="L160" i="2" s="1"/>
  <c r="M160" i="2" s="1"/>
  <c r="K161" i="2"/>
  <c r="L161" i="2" s="1"/>
  <c r="M161" i="2" s="1"/>
  <c r="K162" i="2"/>
  <c r="L162" i="2" s="1"/>
  <c r="M162" i="2" s="1"/>
  <c r="K163" i="2"/>
  <c r="L163" i="2" s="1"/>
  <c r="M163" i="2" s="1"/>
  <c r="K164" i="2"/>
  <c r="L164" i="2" s="1"/>
  <c r="M164" i="2" s="1"/>
  <c r="K165" i="2"/>
  <c r="L165" i="2" s="1"/>
  <c r="M165" i="2" s="1"/>
  <c r="K166" i="2"/>
  <c r="L166" i="2" s="1"/>
  <c r="M166" i="2" s="1"/>
  <c r="K167" i="2"/>
  <c r="L167" i="2" s="1"/>
  <c r="M167" i="2" s="1"/>
  <c r="K168" i="2"/>
  <c r="L168" i="2" s="1"/>
  <c r="M168" i="2" s="1"/>
  <c r="K169" i="2"/>
  <c r="L169" i="2" s="1"/>
  <c r="M169" i="2" s="1"/>
  <c r="K170" i="2"/>
  <c r="L170" i="2" s="1"/>
  <c r="M170" i="2" s="1"/>
  <c r="K171" i="2"/>
  <c r="L171" i="2" s="1"/>
  <c r="M171" i="2" s="1"/>
  <c r="K172" i="2"/>
  <c r="L172" i="2" s="1"/>
  <c r="M172" i="2" s="1"/>
  <c r="K173" i="2"/>
  <c r="L173" i="2" s="1"/>
  <c r="M173" i="2" s="1"/>
  <c r="K174" i="2"/>
  <c r="L174" i="2" s="1"/>
  <c r="M174" i="2" s="1"/>
  <c r="K175" i="2"/>
  <c r="L175" i="2" s="1"/>
  <c r="M175" i="2" s="1"/>
  <c r="K176" i="2"/>
  <c r="L176" i="2" s="1"/>
  <c r="M176" i="2" s="1"/>
  <c r="K177" i="2"/>
  <c r="L177" i="2" s="1"/>
  <c r="M177" i="2" s="1"/>
  <c r="K178" i="2"/>
  <c r="L178" i="2" s="1"/>
  <c r="M178" i="2" s="1"/>
  <c r="K179" i="2"/>
  <c r="L179" i="2" s="1"/>
  <c r="M179" i="2" s="1"/>
  <c r="K180" i="2"/>
  <c r="L180" i="2" s="1"/>
  <c r="M180" i="2" s="1"/>
  <c r="K181" i="2"/>
  <c r="L181" i="2" s="1"/>
  <c r="M181" i="2" s="1"/>
  <c r="K182" i="2"/>
  <c r="L182" i="2" s="1"/>
  <c r="M182" i="2" s="1"/>
  <c r="K183" i="2"/>
  <c r="L183" i="2" s="1"/>
  <c r="M183" i="2" s="1"/>
  <c r="K184" i="2"/>
  <c r="L184" i="2" s="1"/>
  <c r="M184" i="2" s="1"/>
  <c r="K185" i="2"/>
  <c r="L185" i="2" s="1"/>
  <c r="M185" i="2" s="1"/>
  <c r="K186" i="2"/>
  <c r="L186" i="2" s="1"/>
  <c r="M186" i="2" s="1"/>
  <c r="K187" i="2"/>
  <c r="L187" i="2" s="1"/>
  <c r="M187" i="2" s="1"/>
  <c r="K188" i="2"/>
  <c r="L188" i="2" s="1"/>
  <c r="M188" i="2" s="1"/>
  <c r="K189" i="2"/>
  <c r="L189" i="2" s="1"/>
  <c r="M189" i="2" s="1"/>
  <c r="K190" i="2"/>
  <c r="L190" i="2" s="1"/>
  <c r="M190" i="2" s="1"/>
  <c r="K191" i="2"/>
  <c r="L191" i="2" s="1"/>
  <c r="M191" i="2" s="1"/>
  <c r="K192" i="2"/>
  <c r="L192" i="2" s="1"/>
  <c r="M192" i="2" s="1"/>
  <c r="K193" i="2"/>
  <c r="L193" i="2" s="1"/>
  <c r="M193" i="2" s="1"/>
  <c r="K194" i="2"/>
  <c r="L194" i="2" s="1"/>
  <c r="M194" i="2" s="1"/>
  <c r="K195" i="2"/>
  <c r="L195" i="2" s="1"/>
  <c r="M195" i="2" s="1"/>
  <c r="K196" i="2"/>
  <c r="L196" i="2" s="1"/>
  <c r="M196" i="2" s="1"/>
  <c r="K197" i="2"/>
  <c r="L197" i="2" s="1"/>
  <c r="M197" i="2" s="1"/>
  <c r="K198" i="2"/>
  <c r="L198" i="2" s="1"/>
  <c r="M198" i="2" s="1"/>
  <c r="K199" i="2"/>
  <c r="L199" i="2" s="1"/>
  <c r="M199" i="2" s="1"/>
  <c r="K200" i="2"/>
  <c r="L200" i="2" s="1"/>
  <c r="M200" i="2" s="1"/>
  <c r="K201" i="2"/>
  <c r="L201" i="2" s="1"/>
  <c r="M201" i="2" s="1"/>
  <c r="K202" i="2"/>
  <c r="L202" i="2" s="1"/>
  <c r="M202" i="2" s="1"/>
  <c r="K203" i="2"/>
  <c r="L203" i="2" s="1"/>
  <c r="M203" i="2" s="1"/>
  <c r="K204" i="2"/>
  <c r="L204" i="2" s="1"/>
  <c r="M204" i="2" s="1"/>
  <c r="K205" i="2"/>
  <c r="L205" i="2" s="1"/>
  <c r="M205" i="2" s="1"/>
  <c r="K206" i="2"/>
  <c r="L206" i="2" s="1"/>
  <c r="M206" i="2" s="1"/>
  <c r="K207" i="2"/>
  <c r="L207" i="2" s="1"/>
  <c r="M207" i="2" s="1"/>
  <c r="K208" i="2"/>
  <c r="L208" i="2" s="1"/>
  <c r="M208" i="2" s="1"/>
  <c r="K209" i="2"/>
  <c r="L209" i="2" s="1"/>
  <c r="M209" i="2" s="1"/>
  <c r="K210" i="2"/>
  <c r="L210" i="2" s="1"/>
  <c r="M210" i="2" s="1"/>
  <c r="K211" i="2"/>
  <c r="L211" i="2" s="1"/>
  <c r="M211" i="2" s="1"/>
  <c r="K212" i="2"/>
  <c r="L212" i="2" s="1"/>
  <c r="M212" i="2" s="1"/>
  <c r="K213" i="2"/>
  <c r="L213" i="2" s="1"/>
  <c r="M213" i="2" s="1"/>
  <c r="K214" i="2"/>
  <c r="L214" i="2" s="1"/>
  <c r="M214" i="2" s="1"/>
  <c r="K215" i="2"/>
  <c r="L215" i="2" s="1"/>
  <c r="M215" i="2" s="1"/>
  <c r="K216" i="2"/>
  <c r="L216" i="2" s="1"/>
  <c r="M216" i="2" s="1"/>
  <c r="K217" i="2"/>
  <c r="L217" i="2" s="1"/>
  <c r="M217" i="2" s="1"/>
  <c r="K218" i="2"/>
  <c r="L218" i="2" s="1"/>
  <c r="M218" i="2" s="1"/>
  <c r="K219" i="2"/>
  <c r="L219" i="2" s="1"/>
  <c r="M219" i="2" s="1"/>
  <c r="K220" i="2"/>
  <c r="L220" i="2" s="1"/>
  <c r="M220" i="2" s="1"/>
  <c r="K221" i="2"/>
  <c r="L221" i="2" s="1"/>
  <c r="M221" i="2" s="1"/>
  <c r="K222" i="2"/>
  <c r="L222" i="2" s="1"/>
  <c r="M222" i="2" s="1"/>
  <c r="K223" i="2"/>
  <c r="L223" i="2" s="1"/>
  <c r="M223" i="2" s="1"/>
  <c r="K224" i="2"/>
  <c r="L224" i="2" s="1"/>
  <c r="M224" i="2" s="1"/>
  <c r="K225" i="2"/>
  <c r="L225" i="2" s="1"/>
  <c r="M225" i="2" s="1"/>
  <c r="K226" i="2"/>
  <c r="L226" i="2" s="1"/>
  <c r="M226" i="2" s="1"/>
  <c r="K227" i="2"/>
  <c r="L227" i="2" s="1"/>
  <c r="M227" i="2" s="1"/>
  <c r="K228" i="2"/>
  <c r="L228" i="2" s="1"/>
  <c r="M228" i="2" s="1"/>
  <c r="K229" i="2"/>
  <c r="L229" i="2" s="1"/>
  <c r="M229" i="2" s="1"/>
  <c r="K230" i="2"/>
  <c r="L230" i="2" s="1"/>
  <c r="M230" i="2" s="1"/>
  <c r="K231" i="2"/>
  <c r="L231" i="2" s="1"/>
  <c r="M231" i="2" s="1"/>
  <c r="K232" i="2"/>
  <c r="L232" i="2" s="1"/>
  <c r="M232" i="2" s="1"/>
  <c r="K233" i="2"/>
  <c r="L233" i="2" s="1"/>
  <c r="M233" i="2" s="1"/>
  <c r="K234" i="2"/>
  <c r="L234" i="2" s="1"/>
  <c r="M234" i="2" s="1"/>
  <c r="K235" i="2"/>
  <c r="L235" i="2" s="1"/>
  <c r="M235" i="2" s="1"/>
  <c r="K236" i="2"/>
  <c r="L236" i="2" s="1"/>
  <c r="M236" i="2" s="1"/>
  <c r="K237" i="2"/>
  <c r="L237" i="2" s="1"/>
  <c r="M237" i="2" s="1"/>
  <c r="K238" i="2"/>
  <c r="L238" i="2" s="1"/>
  <c r="M238" i="2" s="1"/>
  <c r="K239" i="2"/>
  <c r="L239" i="2" s="1"/>
  <c r="M239" i="2" s="1"/>
  <c r="K240" i="2"/>
  <c r="L240" i="2" s="1"/>
  <c r="M240" i="2" s="1"/>
  <c r="K241" i="2"/>
  <c r="L241" i="2" s="1"/>
  <c r="M241" i="2" s="1"/>
  <c r="K242" i="2"/>
  <c r="L242" i="2" s="1"/>
  <c r="M242" i="2" s="1"/>
  <c r="K243" i="2"/>
  <c r="L243" i="2" s="1"/>
  <c r="M243" i="2" s="1"/>
  <c r="K244" i="2"/>
  <c r="L244" i="2" s="1"/>
  <c r="M244" i="2" s="1"/>
  <c r="K245" i="2"/>
  <c r="L245" i="2" s="1"/>
  <c r="M245" i="2" s="1"/>
  <c r="K246" i="2"/>
  <c r="L246" i="2" s="1"/>
  <c r="M246" i="2" s="1"/>
  <c r="K247" i="2"/>
  <c r="L247" i="2" s="1"/>
  <c r="M247" i="2" s="1"/>
  <c r="K248" i="2"/>
  <c r="L248" i="2" s="1"/>
  <c r="M248" i="2" s="1"/>
  <c r="K249" i="2"/>
  <c r="L249" i="2" s="1"/>
  <c r="M249" i="2" s="1"/>
  <c r="K250" i="2"/>
  <c r="L250" i="2" s="1"/>
  <c r="M250" i="2" s="1"/>
  <c r="K251" i="2"/>
  <c r="L251" i="2" s="1"/>
  <c r="M251" i="2" s="1"/>
  <c r="K252" i="2"/>
  <c r="L252" i="2" s="1"/>
  <c r="M252" i="2" s="1"/>
  <c r="K253" i="2"/>
  <c r="L253" i="2" s="1"/>
  <c r="M253" i="2" s="1"/>
  <c r="K254" i="2"/>
  <c r="L254" i="2" s="1"/>
  <c r="M254" i="2" s="1"/>
  <c r="K255" i="2"/>
  <c r="L255" i="2" s="1"/>
  <c r="M255" i="2" s="1"/>
  <c r="K256" i="2"/>
  <c r="L256" i="2" s="1"/>
  <c r="M256" i="2" s="1"/>
  <c r="K257" i="2"/>
  <c r="L257" i="2" s="1"/>
  <c r="M257" i="2" s="1"/>
  <c r="K258" i="2"/>
  <c r="L258" i="2" s="1"/>
  <c r="M258" i="2" s="1"/>
  <c r="K259" i="2"/>
  <c r="L259" i="2" s="1"/>
  <c r="M259" i="2" s="1"/>
  <c r="K260" i="2"/>
  <c r="L260" i="2" s="1"/>
  <c r="M260" i="2" s="1"/>
  <c r="K261" i="2"/>
  <c r="L261" i="2" s="1"/>
  <c r="M261" i="2" s="1"/>
  <c r="K262" i="2"/>
  <c r="L262" i="2" s="1"/>
  <c r="M262" i="2" s="1"/>
  <c r="K263" i="2"/>
  <c r="L263" i="2" s="1"/>
  <c r="M263" i="2" s="1"/>
  <c r="K264" i="2"/>
  <c r="L264" i="2" s="1"/>
  <c r="M264" i="2" s="1"/>
  <c r="K265" i="2"/>
  <c r="L265" i="2" s="1"/>
  <c r="M265" i="2" s="1"/>
  <c r="K266" i="2"/>
  <c r="L266" i="2" s="1"/>
  <c r="M266" i="2" s="1"/>
  <c r="K267" i="2"/>
  <c r="L267" i="2" s="1"/>
  <c r="M267" i="2" s="1"/>
  <c r="K268" i="2"/>
  <c r="L268" i="2" s="1"/>
  <c r="M268" i="2" s="1"/>
  <c r="K269" i="2"/>
  <c r="L269" i="2" s="1"/>
  <c r="M269" i="2" s="1"/>
  <c r="K270" i="2"/>
  <c r="L270" i="2" s="1"/>
  <c r="M270" i="2" s="1"/>
  <c r="K271" i="2"/>
  <c r="L271" i="2" s="1"/>
  <c r="M271" i="2" s="1"/>
  <c r="K272" i="2"/>
  <c r="L272" i="2" s="1"/>
  <c r="M272" i="2" s="1"/>
  <c r="K273" i="2"/>
  <c r="L273" i="2" s="1"/>
  <c r="M273" i="2" s="1"/>
  <c r="K274" i="2"/>
  <c r="L274" i="2" s="1"/>
  <c r="M274" i="2" s="1"/>
  <c r="K275" i="2"/>
  <c r="L275" i="2" s="1"/>
  <c r="M275" i="2" s="1"/>
  <c r="K276" i="2"/>
  <c r="L276" i="2" s="1"/>
  <c r="M276" i="2" s="1"/>
  <c r="K277" i="2"/>
  <c r="L277" i="2" s="1"/>
  <c r="M277" i="2" s="1"/>
  <c r="K278" i="2"/>
  <c r="L278" i="2" s="1"/>
  <c r="M278" i="2" s="1"/>
  <c r="K279" i="2"/>
  <c r="L279" i="2" s="1"/>
  <c r="M279" i="2" s="1"/>
  <c r="K280" i="2"/>
  <c r="L280" i="2" s="1"/>
  <c r="M280" i="2" s="1"/>
  <c r="K281" i="2"/>
  <c r="L281" i="2" s="1"/>
  <c r="M281" i="2" s="1"/>
  <c r="K282" i="2"/>
  <c r="L282" i="2" s="1"/>
  <c r="M282" i="2" s="1"/>
  <c r="K283" i="2"/>
  <c r="L283" i="2" s="1"/>
  <c r="M283" i="2" s="1"/>
  <c r="K284" i="2"/>
  <c r="L284" i="2" s="1"/>
  <c r="M284" i="2" s="1"/>
  <c r="K285" i="2"/>
  <c r="L285" i="2" s="1"/>
  <c r="M285" i="2" s="1"/>
  <c r="K286" i="2"/>
  <c r="L286" i="2" s="1"/>
  <c r="M286" i="2" s="1"/>
  <c r="K287" i="2"/>
  <c r="L287" i="2" s="1"/>
  <c r="M287" i="2" s="1"/>
  <c r="K288" i="2"/>
  <c r="L288" i="2" s="1"/>
  <c r="M288" i="2" s="1"/>
  <c r="K289" i="2"/>
  <c r="L289" i="2" s="1"/>
  <c r="M289" i="2" s="1"/>
  <c r="K290" i="2"/>
  <c r="L290" i="2" s="1"/>
  <c r="M290" i="2" s="1"/>
  <c r="K291" i="2"/>
  <c r="L291" i="2" s="1"/>
  <c r="M291" i="2" s="1"/>
  <c r="K292" i="2"/>
  <c r="L292" i="2" s="1"/>
  <c r="M292" i="2" s="1"/>
  <c r="K293" i="2"/>
  <c r="L293" i="2" s="1"/>
  <c r="M293" i="2" s="1"/>
  <c r="K294" i="2"/>
  <c r="L294" i="2" s="1"/>
  <c r="M294" i="2" s="1"/>
  <c r="K295" i="2"/>
  <c r="L295" i="2" s="1"/>
  <c r="M295" i="2" s="1"/>
  <c r="K296" i="2"/>
  <c r="L296" i="2" s="1"/>
  <c r="M296" i="2" s="1"/>
  <c r="K297" i="2"/>
  <c r="L297" i="2" s="1"/>
  <c r="M297" i="2" s="1"/>
  <c r="K298" i="2"/>
  <c r="L298" i="2" s="1"/>
  <c r="M298" i="2" s="1"/>
  <c r="K299" i="2"/>
  <c r="L299" i="2" s="1"/>
  <c r="M299" i="2" s="1"/>
  <c r="K300" i="2"/>
  <c r="L300" i="2" s="1"/>
  <c r="M300" i="2" s="1"/>
  <c r="K301" i="2"/>
  <c r="L301" i="2" s="1"/>
  <c r="M301" i="2" s="1"/>
  <c r="K302" i="2"/>
  <c r="L302" i="2" s="1"/>
  <c r="M302" i="2" s="1"/>
  <c r="K303" i="2"/>
  <c r="L303" i="2" s="1"/>
  <c r="M303" i="2" s="1"/>
  <c r="K304" i="2"/>
  <c r="L304" i="2" s="1"/>
  <c r="M304" i="2" s="1"/>
  <c r="K305" i="2"/>
  <c r="L305" i="2" s="1"/>
  <c r="M305" i="2" s="1"/>
  <c r="K306" i="2"/>
  <c r="L306" i="2" s="1"/>
  <c r="M306" i="2" s="1"/>
  <c r="K307" i="2"/>
  <c r="L307" i="2" s="1"/>
  <c r="M307" i="2" s="1"/>
  <c r="K308" i="2"/>
  <c r="L308" i="2" s="1"/>
  <c r="M308" i="2" s="1"/>
  <c r="K309" i="2"/>
  <c r="L309" i="2" s="1"/>
  <c r="M309" i="2" s="1"/>
  <c r="K310" i="2"/>
  <c r="L310" i="2" s="1"/>
  <c r="M310" i="2" s="1"/>
  <c r="K311" i="2"/>
  <c r="L311" i="2" s="1"/>
  <c r="M311" i="2" s="1"/>
  <c r="K312" i="2"/>
  <c r="L312" i="2" s="1"/>
  <c r="M312" i="2" s="1"/>
  <c r="K313" i="2"/>
  <c r="L313" i="2" s="1"/>
  <c r="M313" i="2" s="1"/>
  <c r="K314" i="2"/>
  <c r="L314" i="2" s="1"/>
  <c r="M314" i="2" s="1"/>
  <c r="K315" i="2"/>
  <c r="L315" i="2" s="1"/>
  <c r="M315" i="2" s="1"/>
  <c r="K316" i="2"/>
  <c r="L316" i="2" s="1"/>
  <c r="M316" i="2" s="1"/>
  <c r="K317" i="2"/>
  <c r="L317" i="2" s="1"/>
  <c r="M317" i="2" s="1"/>
  <c r="K318" i="2"/>
  <c r="L318" i="2" s="1"/>
  <c r="M318" i="2" s="1"/>
  <c r="K319" i="2"/>
  <c r="L319" i="2" s="1"/>
  <c r="M319" i="2" s="1"/>
  <c r="K320" i="2"/>
  <c r="L320" i="2" s="1"/>
  <c r="M320" i="2" s="1"/>
  <c r="K321" i="2"/>
  <c r="L321" i="2" s="1"/>
  <c r="M321" i="2" s="1"/>
  <c r="K322" i="2"/>
  <c r="L322" i="2" s="1"/>
  <c r="M322" i="2" s="1"/>
  <c r="K323" i="2"/>
  <c r="L323" i="2" s="1"/>
  <c r="M323" i="2" s="1"/>
  <c r="K324" i="2"/>
  <c r="L324" i="2" s="1"/>
  <c r="M324" i="2" s="1"/>
  <c r="K325" i="2"/>
  <c r="L325" i="2" s="1"/>
  <c r="M325" i="2" s="1"/>
  <c r="K326" i="2"/>
  <c r="L326" i="2" s="1"/>
  <c r="M326" i="2" s="1"/>
  <c r="K327" i="2"/>
  <c r="L327" i="2" s="1"/>
  <c r="M327" i="2" s="1"/>
  <c r="K328" i="2"/>
  <c r="L328" i="2" s="1"/>
  <c r="M328" i="2" s="1"/>
  <c r="K329" i="2"/>
  <c r="L329" i="2" s="1"/>
  <c r="M329" i="2" s="1"/>
  <c r="K330" i="2"/>
  <c r="L330" i="2" s="1"/>
  <c r="M330" i="2" s="1"/>
  <c r="K331" i="2"/>
  <c r="L331" i="2" s="1"/>
  <c r="M331" i="2" s="1"/>
  <c r="K332" i="2"/>
  <c r="L332" i="2" s="1"/>
  <c r="M332" i="2" s="1"/>
  <c r="K333" i="2"/>
  <c r="L333" i="2" s="1"/>
  <c r="M333" i="2" s="1"/>
  <c r="K334" i="2"/>
  <c r="L334" i="2" s="1"/>
  <c r="M334" i="2" s="1"/>
  <c r="K335" i="2"/>
  <c r="L335" i="2" s="1"/>
  <c r="M335" i="2" s="1"/>
  <c r="K336" i="2"/>
  <c r="L336" i="2" s="1"/>
  <c r="M336" i="2" s="1"/>
  <c r="K337" i="2"/>
  <c r="L337" i="2" s="1"/>
  <c r="M337" i="2" s="1"/>
  <c r="K338" i="2"/>
  <c r="L338" i="2" s="1"/>
  <c r="M338" i="2" s="1"/>
  <c r="K339" i="2"/>
  <c r="L339" i="2" s="1"/>
  <c r="M339" i="2" s="1"/>
  <c r="K340" i="2"/>
  <c r="L340" i="2" s="1"/>
  <c r="M340" i="2" s="1"/>
  <c r="K341" i="2"/>
  <c r="L341" i="2" s="1"/>
  <c r="M341" i="2" s="1"/>
  <c r="K342" i="2"/>
  <c r="L342" i="2" s="1"/>
  <c r="M342" i="2" s="1"/>
  <c r="K343" i="2"/>
  <c r="L343" i="2" s="1"/>
  <c r="M343" i="2" s="1"/>
  <c r="K344" i="2"/>
  <c r="L344" i="2" s="1"/>
  <c r="M344" i="2" s="1"/>
  <c r="K345" i="2"/>
  <c r="L345" i="2" s="1"/>
  <c r="M345" i="2" s="1"/>
  <c r="K346" i="2"/>
  <c r="L346" i="2" s="1"/>
  <c r="M346" i="2" s="1"/>
  <c r="K347" i="2"/>
  <c r="L347" i="2" s="1"/>
  <c r="M347" i="2" s="1"/>
  <c r="K348" i="2"/>
  <c r="L348" i="2" s="1"/>
  <c r="M348" i="2" s="1"/>
  <c r="K349" i="2"/>
  <c r="L349" i="2" s="1"/>
  <c r="M349" i="2" s="1"/>
  <c r="K350" i="2"/>
  <c r="L350" i="2" s="1"/>
  <c r="M350" i="2" s="1"/>
  <c r="K351" i="2"/>
  <c r="L351" i="2" s="1"/>
  <c r="M351" i="2" s="1"/>
  <c r="K352" i="2"/>
  <c r="L352" i="2" s="1"/>
  <c r="M352" i="2" s="1"/>
  <c r="K353" i="2"/>
  <c r="L353" i="2" s="1"/>
  <c r="M353" i="2" s="1"/>
  <c r="K354" i="2"/>
  <c r="L354" i="2" s="1"/>
  <c r="M354" i="2" s="1"/>
  <c r="K355" i="2"/>
  <c r="L355" i="2" s="1"/>
  <c r="M355" i="2" s="1"/>
  <c r="K356" i="2"/>
  <c r="L356" i="2" s="1"/>
  <c r="M356" i="2" s="1"/>
  <c r="K357" i="2"/>
  <c r="L357" i="2" s="1"/>
  <c r="M357" i="2" s="1"/>
  <c r="K358" i="2"/>
  <c r="L358" i="2" s="1"/>
  <c r="M358" i="2" s="1"/>
  <c r="K359" i="2"/>
  <c r="L359" i="2" s="1"/>
  <c r="M359" i="2" s="1"/>
  <c r="K360" i="2"/>
  <c r="L360" i="2" s="1"/>
  <c r="M360" i="2" s="1"/>
  <c r="K361" i="2"/>
  <c r="L361" i="2" s="1"/>
  <c r="M361" i="2" s="1"/>
  <c r="K362" i="2"/>
  <c r="L362" i="2" s="1"/>
  <c r="M362" i="2" s="1"/>
  <c r="K363" i="2"/>
  <c r="L363" i="2" s="1"/>
  <c r="M363" i="2" s="1"/>
  <c r="K364" i="2"/>
  <c r="L364" i="2" s="1"/>
  <c r="M364" i="2" s="1"/>
  <c r="K365" i="2"/>
  <c r="L365" i="2" s="1"/>
  <c r="M365" i="2" s="1"/>
  <c r="K366" i="2"/>
  <c r="L366" i="2" s="1"/>
  <c r="M366" i="2" s="1"/>
  <c r="K367" i="2"/>
  <c r="L367" i="2" s="1"/>
  <c r="M367" i="2" s="1"/>
  <c r="K368" i="2"/>
  <c r="L368" i="2" s="1"/>
  <c r="M368" i="2" s="1"/>
  <c r="K369" i="2"/>
  <c r="L369" i="2" s="1"/>
  <c r="M369" i="2" s="1"/>
  <c r="K370" i="2"/>
  <c r="L370" i="2" s="1"/>
  <c r="M370" i="2" s="1"/>
  <c r="K371" i="2"/>
  <c r="L371" i="2" s="1"/>
  <c r="M371" i="2" s="1"/>
  <c r="K372" i="2"/>
  <c r="L372" i="2" s="1"/>
  <c r="M372" i="2" s="1"/>
  <c r="K373" i="2"/>
  <c r="L373" i="2" s="1"/>
  <c r="M373" i="2" s="1"/>
  <c r="K374" i="2"/>
  <c r="L374" i="2" s="1"/>
  <c r="M374" i="2" s="1"/>
  <c r="K375" i="2"/>
  <c r="L375" i="2" s="1"/>
  <c r="M375" i="2" s="1"/>
  <c r="K376" i="2"/>
  <c r="L376" i="2" s="1"/>
  <c r="M376" i="2" s="1"/>
  <c r="K377" i="2"/>
  <c r="L377" i="2" s="1"/>
  <c r="M377" i="2" s="1"/>
  <c r="K378" i="2"/>
  <c r="L378" i="2" s="1"/>
  <c r="M378" i="2" s="1"/>
  <c r="K379" i="2"/>
  <c r="L379" i="2" s="1"/>
  <c r="M379" i="2" s="1"/>
  <c r="K380" i="2"/>
  <c r="L380" i="2" s="1"/>
  <c r="M380" i="2" s="1"/>
  <c r="K381" i="2"/>
  <c r="L381" i="2" s="1"/>
  <c r="M381" i="2" s="1"/>
  <c r="K382" i="2"/>
  <c r="L382" i="2" s="1"/>
  <c r="M382" i="2" s="1"/>
  <c r="K383" i="2"/>
  <c r="L383" i="2" s="1"/>
  <c r="M383" i="2" s="1"/>
  <c r="K384" i="2"/>
  <c r="L384" i="2" s="1"/>
  <c r="M384" i="2" s="1"/>
  <c r="K385" i="2"/>
  <c r="L385" i="2" s="1"/>
  <c r="M385" i="2" s="1"/>
  <c r="K386" i="2"/>
  <c r="L386" i="2" s="1"/>
  <c r="M386" i="2" s="1"/>
  <c r="K387" i="2"/>
  <c r="L387" i="2" s="1"/>
  <c r="M387" i="2" s="1"/>
  <c r="K388" i="2"/>
  <c r="L388" i="2" s="1"/>
  <c r="M388" i="2" s="1"/>
  <c r="K389" i="2"/>
  <c r="L389" i="2" s="1"/>
  <c r="M389" i="2" s="1"/>
  <c r="K390" i="2"/>
  <c r="L390" i="2" s="1"/>
  <c r="M390" i="2" s="1"/>
  <c r="K391" i="2"/>
  <c r="L391" i="2" s="1"/>
  <c r="M391" i="2" s="1"/>
  <c r="K392" i="2"/>
  <c r="L392" i="2" s="1"/>
  <c r="M392" i="2" s="1"/>
  <c r="K393" i="2"/>
  <c r="L393" i="2" s="1"/>
  <c r="M393" i="2" s="1"/>
  <c r="K394" i="2"/>
  <c r="L394" i="2" s="1"/>
  <c r="M394" i="2" s="1"/>
  <c r="K395" i="2"/>
  <c r="L395" i="2" s="1"/>
  <c r="M395" i="2" s="1"/>
  <c r="K396" i="2"/>
  <c r="L396" i="2" s="1"/>
  <c r="M396" i="2" s="1"/>
  <c r="K397" i="2"/>
  <c r="L397" i="2" s="1"/>
  <c r="M397" i="2" s="1"/>
  <c r="K398" i="2"/>
  <c r="L398" i="2" s="1"/>
  <c r="M398" i="2" s="1"/>
  <c r="K399" i="2"/>
  <c r="L399" i="2" s="1"/>
  <c r="M399" i="2" s="1"/>
  <c r="K400" i="2"/>
  <c r="L400" i="2" s="1"/>
  <c r="M400" i="2" s="1"/>
  <c r="K401" i="2"/>
  <c r="L401" i="2" s="1"/>
  <c r="M401" i="2" s="1"/>
  <c r="K402" i="2"/>
  <c r="L402" i="2" s="1"/>
  <c r="M402" i="2" s="1"/>
  <c r="K403" i="2"/>
  <c r="L403" i="2" s="1"/>
  <c r="M403" i="2" s="1"/>
  <c r="K404" i="2"/>
  <c r="L404" i="2" s="1"/>
  <c r="M404" i="2" s="1"/>
  <c r="K405" i="2"/>
  <c r="L405" i="2" s="1"/>
  <c r="M405" i="2" s="1"/>
  <c r="K406" i="2"/>
  <c r="L406" i="2" s="1"/>
  <c r="M406" i="2" s="1"/>
  <c r="K407" i="2"/>
  <c r="L407" i="2" s="1"/>
  <c r="M407" i="2" s="1"/>
  <c r="K408" i="2"/>
  <c r="L408" i="2" s="1"/>
  <c r="M408" i="2" s="1"/>
  <c r="K409" i="2"/>
  <c r="L409" i="2" s="1"/>
  <c r="M409" i="2" s="1"/>
  <c r="K410" i="2"/>
  <c r="L410" i="2" s="1"/>
  <c r="M410" i="2" s="1"/>
  <c r="K411" i="2"/>
  <c r="L411" i="2" s="1"/>
  <c r="M411" i="2" s="1"/>
  <c r="K412" i="2"/>
  <c r="L412" i="2" s="1"/>
  <c r="M412" i="2" s="1"/>
  <c r="K413" i="2"/>
  <c r="L413" i="2" s="1"/>
  <c r="M413" i="2" s="1"/>
  <c r="K414" i="2"/>
  <c r="L414" i="2" s="1"/>
  <c r="M414" i="2" s="1"/>
  <c r="K415" i="2"/>
  <c r="L415" i="2" s="1"/>
  <c r="M415" i="2" s="1"/>
  <c r="K416" i="2"/>
  <c r="L416" i="2" s="1"/>
  <c r="M416" i="2" s="1"/>
  <c r="K417" i="2"/>
  <c r="L417" i="2" s="1"/>
  <c r="M417" i="2" s="1"/>
  <c r="K418" i="2"/>
  <c r="L418" i="2" s="1"/>
  <c r="M418" i="2" s="1"/>
  <c r="K419" i="2"/>
  <c r="L419" i="2" s="1"/>
  <c r="M419" i="2" s="1"/>
  <c r="K420" i="2"/>
  <c r="L420" i="2" s="1"/>
  <c r="M420" i="2" s="1"/>
  <c r="K421" i="2"/>
  <c r="L421" i="2" s="1"/>
  <c r="M421" i="2" s="1"/>
  <c r="K422" i="2"/>
  <c r="L422" i="2" s="1"/>
  <c r="M422" i="2" s="1"/>
  <c r="K423" i="2"/>
  <c r="L423" i="2" s="1"/>
  <c r="M423" i="2" s="1"/>
  <c r="K424" i="2"/>
  <c r="L424" i="2" s="1"/>
  <c r="M424" i="2" s="1"/>
  <c r="K425" i="2"/>
  <c r="L425" i="2" s="1"/>
  <c r="M425" i="2" s="1"/>
  <c r="K426" i="2"/>
  <c r="L426" i="2" s="1"/>
  <c r="M426" i="2" s="1"/>
  <c r="K427" i="2"/>
  <c r="L427" i="2" s="1"/>
  <c r="M427" i="2" s="1"/>
  <c r="K428" i="2"/>
  <c r="L428" i="2" s="1"/>
  <c r="M428" i="2" s="1"/>
  <c r="K429" i="2"/>
  <c r="L429" i="2" s="1"/>
  <c r="M429" i="2" s="1"/>
  <c r="K430" i="2"/>
  <c r="L430" i="2" s="1"/>
  <c r="M430" i="2" s="1"/>
  <c r="K431" i="2"/>
  <c r="L431" i="2" s="1"/>
  <c r="M431" i="2" s="1"/>
  <c r="K432" i="2"/>
  <c r="L432" i="2" s="1"/>
  <c r="M432" i="2" s="1"/>
  <c r="K433" i="2"/>
  <c r="L433" i="2" s="1"/>
  <c r="M433" i="2" s="1"/>
  <c r="K434" i="2"/>
  <c r="L434" i="2" s="1"/>
  <c r="M434" i="2" s="1"/>
  <c r="K435" i="2"/>
  <c r="L435" i="2" s="1"/>
  <c r="M435" i="2" s="1"/>
  <c r="K436" i="2"/>
  <c r="L436" i="2" s="1"/>
  <c r="M436" i="2" s="1"/>
  <c r="K437" i="2"/>
  <c r="L437" i="2" s="1"/>
  <c r="M437" i="2" s="1"/>
  <c r="K438" i="2"/>
  <c r="L438" i="2" s="1"/>
  <c r="M438" i="2" s="1"/>
  <c r="K439" i="2"/>
  <c r="L439" i="2" s="1"/>
  <c r="M439" i="2" s="1"/>
  <c r="K440" i="2"/>
  <c r="L440" i="2" s="1"/>
  <c r="M440" i="2" s="1"/>
  <c r="K441" i="2"/>
  <c r="L441" i="2" s="1"/>
  <c r="M441" i="2" s="1"/>
  <c r="K442" i="2"/>
  <c r="L442" i="2" s="1"/>
  <c r="M442" i="2" s="1"/>
  <c r="K443" i="2"/>
  <c r="L443" i="2" s="1"/>
  <c r="M443" i="2" s="1"/>
  <c r="K444" i="2"/>
  <c r="L444" i="2" s="1"/>
  <c r="M444" i="2" s="1"/>
  <c r="K445" i="2"/>
  <c r="L445" i="2" s="1"/>
  <c r="M445" i="2" s="1"/>
  <c r="K446" i="2"/>
  <c r="L446" i="2" s="1"/>
  <c r="M446" i="2" s="1"/>
  <c r="K447" i="2"/>
  <c r="L447" i="2" s="1"/>
  <c r="M447" i="2" s="1"/>
  <c r="K448" i="2"/>
  <c r="L448" i="2" s="1"/>
  <c r="M448" i="2" s="1"/>
  <c r="K449" i="2"/>
  <c r="L449" i="2" s="1"/>
  <c r="M449" i="2" s="1"/>
  <c r="K450" i="2"/>
  <c r="L450" i="2" s="1"/>
  <c r="M450" i="2" s="1"/>
  <c r="K451" i="2"/>
  <c r="L451" i="2" s="1"/>
  <c r="M451" i="2" s="1"/>
  <c r="K452" i="2"/>
  <c r="L452" i="2" s="1"/>
  <c r="M452" i="2" s="1"/>
  <c r="K453" i="2"/>
  <c r="L453" i="2" s="1"/>
  <c r="M453" i="2" s="1"/>
  <c r="K454" i="2"/>
  <c r="L454" i="2" s="1"/>
  <c r="M454" i="2" s="1"/>
  <c r="K455" i="2"/>
  <c r="L455" i="2" s="1"/>
  <c r="M455" i="2" s="1"/>
  <c r="K456" i="2"/>
  <c r="L456" i="2" s="1"/>
  <c r="M456" i="2" s="1"/>
  <c r="K457" i="2"/>
  <c r="L457" i="2" s="1"/>
  <c r="M457" i="2" s="1"/>
  <c r="K458" i="2"/>
  <c r="L458" i="2" s="1"/>
  <c r="M458" i="2" s="1"/>
  <c r="K459" i="2"/>
  <c r="L459" i="2" s="1"/>
  <c r="M459" i="2" s="1"/>
  <c r="K460" i="2"/>
  <c r="L460" i="2" s="1"/>
  <c r="M460" i="2" s="1"/>
  <c r="K461" i="2"/>
  <c r="L461" i="2" s="1"/>
  <c r="M461" i="2" s="1"/>
  <c r="K462" i="2"/>
  <c r="L462" i="2" s="1"/>
  <c r="M462" i="2" s="1"/>
  <c r="K463" i="2"/>
  <c r="L463" i="2" s="1"/>
  <c r="M463" i="2" s="1"/>
  <c r="K464" i="2"/>
  <c r="L464" i="2" s="1"/>
  <c r="M464" i="2" s="1"/>
  <c r="K465" i="2"/>
  <c r="L465" i="2" s="1"/>
  <c r="M465" i="2" s="1"/>
  <c r="K466" i="2"/>
  <c r="L466" i="2" s="1"/>
  <c r="M466" i="2" s="1"/>
  <c r="K467" i="2"/>
  <c r="L467" i="2" s="1"/>
  <c r="M467" i="2" s="1"/>
  <c r="K468" i="2"/>
  <c r="L468" i="2" s="1"/>
  <c r="M468" i="2" s="1"/>
  <c r="K469" i="2"/>
  <c r="L469" i="2" s="1"/>
  <c r="M469" i="2" s="1"/>
  <c r="K470" i="2"/>
  <c r="L470" i="2" s="1"/>
  <c r="M470" i="2" s="1"/>
  <c r="K471" i="2"/>
  <c r="L471" i="2" s="1"/>
  <c r="M471" i="2" s="1"/>
  <c r="K472" i="2"/>
  <c r="L472" i="2" s="1"/>
  <c r="M472" i="2" s="1"/>
  <c r="K473" i="2"/>
  <c r="L473" i="2" s="1"/>
  <c r="M473" i="2" s="1"/>
  <c r="K474" i="2"/>
  <c r="L474" i="2" s="1"/>
  <c r="M474" i="2" s="1"/>
  <c r="K475" i="2"/>
  <c r="L475" i="2" s="1"/>
  <c r="M475" i="2" s="1"/>
  <c r="K476" i="2"/>
  <c r="L476" i="2" s="1"/>
  <c r="M476" i="2" s="1"/>
  <c r="K477" i="2"/>
  <c r="L477" i="2" s="1"/>
  <c r="M477" i="2" s="1"/>
  <c r="K478" i="2"/>
  <c r="L478" i="2" s="1"/>
  <c r="M478" i="2" s="1"/>
  <c r="K479" i="2"/>
  <c r="L479" i="2" s="1"/>
  <c r="M479" i="2" s="1"/>
  <c r="K480" i="2"/>
  <c r="L480" i="2" s="1"/>
  <c r="M480" i="2" s="1"/>
  <c r="K481" i="2"/>
  <c r="L481" i="2" s="1"/>
  <c r="M481" i="2" s="1"/>
  <c r="K482" i="2"/>
  <c r="L482" i="2" s="1"/>
  <c r="M482" i="2" s="1"/>
  <c r="K483" i="2"/>
  <c r="L483" i="2" s="1"/>
  <c r="M483" i="2" s="1"/>
  <c r="K484" i="2"/>
  <c r="L484" i="2" s="1"/>
  <c r="M484" i="2" s="1"/>
  <c r="K485" i="2"/>
  <c r="L485" i="2" s="1"/>
  <c r="M485" i="2" s="1"/>
  <c r="K486" i="2"/>
  <c r="L486" i="2" s="1"/>
  <c r="M486" i="2" s="1"/>
  <c r="K487" i="2"/>
  <c r="L487" i="2" s="1"/>
  <c r="M487" i="2" s="1"/>
  <c r="K488" i="2"/>
  <c r="L488" i="2" s="1"/>
  <c r="M488" i="2" s="1"/>
  <c r="K489" i="2"/>
  <c r="L489" i="2" s="1"/>
  <c r="M489" i="2" s="1"/>
  <c r="K490" i="2"/>
  <c r="L490" i="2" s="1"/>
  <c r="M490" i="2" s="1"/>
  <c r="K491" i="2"/>
  <c r="L491" i="2" s="1"/>
  <c r="M491" i="2" s="1"/>
  <c r="K492" i="2"/>
  <c r="L492" i="2" s="1"/>
  <c r="M492" i="2" s="1"/>
  <c r="K493" i="2"/>
  <c r="L493" i="2" s="1"/>
  <c r="M493" i="2" s="1"/>
  <c r="K494" i="2"/>
  <c r="L494" i="2" s="1"/>
  <c r="M494" i="2" s="1"/>
  <c r="K495" i="2"/>
  <c r="L495" i="2" s="1"/>
  <c r="M495" i="2" s="1"/>
  <c r="K496" i="2"/>
  <c r="L496" i="2" s="1"/>
  <c r="M496" i="2" s="1"/>
  <c r="K497" i="2"/>
  <c r="L497" i="2" s="1"/>
  <c r="M497" i="2" s="1"/>
  <c r="K498" i="2"/>
  <c r="L498" i="2" s="1"/>
  <c r="M498" i="2" s="1"/>
  <c r="K499" i="2"/>
  <c r="L499" i="2" s="1"/>
  <c r="M499" i="2" s="1"/>
  <c r="K500" i="2"/>
  <c r="L500" i="2" s="1"/>
  <c r="M500" i="2" s="1"/>
  <c r="K501" i="2"/>
  <c r="L501" i="2" s="1"/>
  <c r="M501" i="2" s="1"/>
  <c r="K502" i="2"/>
  <c r="L502" i="2" s="1"/>
  <c r="M502" i="2" s="1"/>
  <c r="K503" i="2"/>
  <c r="L503" i="2" s="1"/>
  <c r="M503" i="2" s="1"/>
  <c r="K504" i="2"/>
  <c r="L504" i="2" s="1"/>
  <c r="M504" i="2" s="1"/>
  <c r="K505" i="2"/>
  <c r="L505" i="2" s="1"/>
  <c r="M505" i="2" s="1"/>
  <c r="K506" i="2"/>
  <c r="L506" i="2" s="1"/>
  <c r="M506" i="2" s="1"/>
  <c r="K507" i="2"/>
  <c r="L507" i="2" s="1"/>
  <c r="M507" i="2" s="1"/>
  <c r="K508" i="2"/>
  <c r="L508" i="2" s="1"/>
  <c r="M508" i="2" s="1"/>
  <c r="K509" i="2"/>
  <c r="L509" i="2" s="1"/>
  <c r="M509" i="2" s="1"/>
  <c r="K510" i="2"/>
  <c r="L510" i="2" s="1"/>
  <c r="M510" i="2" s="1"/>
  <c r="K511" i="2"/>
  <c r="L511" i="2" s="1"/>
  <c r="M511" i="2" s="1"/>
  <c r="K512" i="2"/>
  <c r="L512" i="2" s="1"/>
  <c r="M512" i="2" s="1"/>
  <c r="K513" i="2"/>
  <c r="L513" i="2" s="1"/>
  <c r="M513" i="2" s="1"/>
  <c r="K514" i="2"/>
  <c r="L514" i="2" s="1"/>
  <c r="M514" i="2" s="1"/>
  <c r="K515" i="2"/>
  <c r="L515" i="2" s="1"/>
  <c r="M515" i="2" s="1"/>
  <c r="K516" i="2"/>
  <c r="L516" i="2" s="1"/>
  <c r="M516" i="2" s="1"/>
  <c r="K517" i="2"/>
  <c r="L517" i="2" s="1"/>
  <c r="M517" i="2" s="1"/>
  <c r="K518" i="2"/>
  <c r="L518" i="2" s="1"/>
  <c r="M518" i="2" s="1"/>
  <c r="K519" i="2"/>
  <c r="L519" i="2" s="1"/>
  <c r="M519" i="2" s="1"/>
  <c r="K520" i="2"/>
  <c r="L520" i="2" s="1"/>
  <c r="M520" i="2" s="1"/>
  <c r="K521" i="2"/>
  <c r="L521" i="2" s="1"/>
  <c r="M521" i="2" s="1"/>
  <c r="K522" i="2"/>
  <c r="L522" i="2" s="1"/>
  <c r="M522" i="2" s="1"/>
  <c r="K523" i="2"/>
  <c r="L523" i="2" s="1"/>
  <c r="M523" i="2" s="1"/>
  <c r="K524" i="2"/>
  <c r="L524" i="2" s="1"/>
  <c r="M524" i="2" s="1"/>
  <c r="K525" i="2"/>
  <c r="L525" i="2" s="1"/>
  <c r="M525" i="2" s="1"/>
  <c r="K526" i="2"/>
  <c r="L526" i="2" s="1"/>
  <c r="M526" i="2" s="1"/>
  <c r="K527" i="2"/>
  <c r="L527" i="2" s="1"/>
  <c r="M527" i="2" s="1"/>
  <c r="K528" i="2"/>
  <c r="L528" i="2" s="1"/>
  <c r="M528" i="2" s="1"/>
  <c r="K529" i="2"/>
  <c r="L529" i="2" s="1"/>
  <c r="M529" i="2" s="1"/>
  <c r="K530" i="2"/>
  <c r="L530" i="2" s="1"/>
  <c r="M530" i="2" s="1"/>
  <c r="K531" i="2"/>
  <c r="L531" i="2" s="1"/>
  <c r="M531" i="2" s="1"/>
  <c r="K532" i="2"/>
  <c r="L532" i="2" s="1"/>
  <c r="M532" i="2" s="1"/>
  <c r="K533" i="2"/>
  <c r="L533" i="2" s="1"/>
  <c r="M533" i="2" s="1"/>
  <c r="K534" i="2"/>
  <c r="L534" i="2" s="1"/>
  <c r="M534" i="2" s="1"/>
  <c r="K535" i="2"/>
  <c r="L535" i="2" s="1"/>
  <c r="M535" i="2" s="1"/>
  <c r="K536" i="2"/>
  <c r="L536" i="2" s="1"/>
  <c r="M536" i="2" s="1"/>
  <c r="K537" i="2"/>
  <c r="L537" i="2" s="1"/>
  <c r="M537" i="2" s="1"/>
  <c r="K538" i="2"/>
  <c r="L538" i="2" s="1"/>
  <c r="M538" i="2" s="1"/>
  <c r="K539" i="2"/>
  <c r="L539" i="2" s="1"/>
  <c r="M539" i="2" s="1"/>
  <c r="K540" i="2"/>
  <c r="L540" i="2" s="1"/>
  <c r="M540" i="2" s="1"/>
  <c r="K541" i="2"/>
  <c r="L541" i="2" s="1"/>
  <c r="M541" i="2" s="1"/>
  <c r="K542" i="2"/>
  <c r="L542" i="2" s="1"/>
  <c r="M542" i="2" s="1"/>
  <c r="K543" i="2"/>
  <c r="L543" i="2" s="1"/>
  <c r="M543" i="2" s="1"/>
  <c r="K544" i="2"/>
  <c r="L544" i="2" s="1"/>
  <c r="M544" i="2" s="1"/>
  <c r="K6" i="2"/>
  <c r="L6" i="2" s="1"/>
  <c r="M6" i="2" s="1"/>
  <c r="K5" i="2"/>
  <c r="L5" i="2" s="1"/>
  <c r="M5" i="2" s="1"/>
</calcChain>
</file>

<file path=xl/sharedStrings.xml><?xml version="1.0" encoding="utf-8"?>
<sst xmlns="http://schemas.openxmlformats.org/spreadsheetml/2006/main" count="3930" uniqueCount="1715">
  <si>
    <t>SCADA IP ADDRESS (CONFIGURABLE)</t>
  </si>
  <si>
    <t xml:space="preserve">Parameter Name </t>
  </si>
  <si>
    <t>R/W</t>
  </si>
  <si>
    <t>Holding Register</t>
  </si>
  <si>
    <t>Ct</t>
  </si>
  <si>
    <t>Description</t>
  </si>
  <si>
    <t>Scaling(Resolution)</t>
  </si>
  <si>
    <t>Offset</t>
  </si>
  <si>
    <t>Limits(Ranges)</t>
  </si>
  <si>
    <t>Engine Operating Mode</t>
  </si>
  <si>
    <t>R</t>
  </si>
  <si>
    <t>Indicates the status of the Generator system</t>
  </si>
  <si>
    <t>0 = STOP
1 = AUTO
2 = RUN</t>
  </si>
  <si>
    <t>System Event Lamp Status</t>
  </si>
  <si>
    <t>Bits 15:4 UNUSED
Bits 3:2 Amber Lamp Status (Boolean)
Bits 1:0 Red Lamp Status (Boolean)</t>
  </si>
  <si>
    <t>System Horn Active Status</t>
  </si>
  <si>
    <t>Indicates the status of the system horn (audible alert).</t>
  </si>
  <si>
    <t>0 = FALSE
1 = TRUE
2 = ERROR
3 = DISABLED OR NOT AVAILABLE</t>
  </si>
  <si>
    <t>Hard Shutdown Status</t>
  </si>
  <si>
    <t>Indicates status of hard shutdown</t>
  </si>
  <si>
    <t>Soft Shutdown Status</t>
  </si>
  <si>
    <t>indicates status of soft shutdown</t>
  </si>
  <si>
    <t>Automatic Start/Stop State</t>
  </si>
  <si>
    <t>Generator Average Line-Line AC RMS Voltage</t>
  </si>
  <si>
    <t>Average Line to Line RMS voltage measured at the generator output</t>
  </si>
  <si>
    <t>1 V / bit</t>
  </si>
  <si>
    <t>0 V</t>
  </si>
  <si>
    <t>0 to 64255 V</t>
  </si>
  <si>
    <t>Generator Average AC RMS Current</t>
  </si>
  <si>
    <t>Generator Average AC RMS Frequency</t>
  </si>
  <si>
    <t>1/128 Hz / bit</t>
  </si>
  <si>
    <t>0 Hz</t>
  </si>
  <si>
    <t>0 to 501.9922 Hz</t>
  </si>
  <si>
    <t>Generator Overall Power Factor</t>
  </si>
  <si>
    <t>The average Power Factor of the generator.</t>
  </si>
  <si>
    <t>1/16384 / bit</t>
  </si>
  <si>
    <t>-1.0 to 1.0</t>
  </si>
  <si>
    <t>Generator Overall Power Factor Lagging</t>
  </si>
  <si>
    <t>Lead/lag status for generator average Power Factor.</t>
  </si>
  <si>
    <t>0 = Power factor leading
1 = Power factor lagging</t>
  </si>
  <si>
    <t>Generator Total Real Power</t>
  </si>
  <si>
    <t>Total real power delivered by the generator.</t>
  </si>
  <si>
    <t>1 W / bit</t>
  </si>
  <si>
    <t>-2000000000 W</t>
  </si>
  <si>
    <t>-2000000000 to +2211081215 W</t>
  </si>
  <si>
    <t>Generator Total Reactive Power</t>
  </si>
  <si>
    <t>Total reactive power delivered by the generator.</t>
  </si>
  <si>
    <t>1 VAr / bit</t>
  </si>
  <si>
    <t>-2000000000 VAr</t>
  </si>
  <si>
    <t>-2000000000 to
+2211081215 VAr</t>
  </si>
  <si>
    <t>Generator Total Apparent Power</t>
  </si>
  <si>
    <t>The total apparent power delivered by the generator.</t>
  </si>
  <si>
    <t>1 VA / bit</t>
  </si>
  <si>
    <t>-2000000000 VA</t>
  </si>
  <si>
    <t>-2000000000 to +2211081215 VA</t>
  </si>
  <si>
    <t>1 / 128 degree / bit</t>
  </si>
  <si>
    <t>-200 degrees</t>
  </si>
  <si>
    <t>-200 to 301.99 degrees</t>
  </si>
  <si>
    <t>Generator Phase A Line-Line AC RMS Voltage</t>
  </si>
  <si>
    <t>Line to Line RMS voltage measured at the generator phase AB output</t>
  </si>
  <si>
    <t>Generator Phase B Line-Line AC RMS Voltage</t>
  </si>
  <si>
    <t>Generator Phase C Line-Line AC RMS Voltage</t>
  </si>
  <si>
    <t>Line to Line RMS voltage measured at the generator phase CA output</t>
  </si>
  <si>
    <t>Generator Phase A AC RMS Current</t>
  </si>
  <si>
    <t>RMS current measured at the generator phase A output.</t>
  </si>
  <si>
    <t>1 A / bit</t>
  </si>
  <si>
    <t>Generator Phase B AC RMS Current</t>
  </si>
  <si>
    <t>RMS current measured at the generator phase B output.</t>
  </si>
  <si>
    <t>Generator Phase C AC RMS Current</t>
  </si>
  <si>
    <t>RMS current measured at the generator phase C output.</t>
  </si>
  <si>
    <t>Generator Phase A Line-Neutral AC RMS Voltage</t>
  </si>
  <si>
    <t>Line to Neutral RMS voltage measured at the generator phase A output.</t>
  </si>
  <si>
    <t>Generator Phase B Line-Neutral AC RMS Voltage</t>
  </si>
  <si>
    <t>Line to Neutral RMS voltage measured at the generator phase B output.</t>
  </si>
  <si>
    <t>Generator Phase C Line-Neutral AC RMS Voltage</t>
  </si>
  <si>
    <t>Line to Neutral RMS voltage measured at the generator phase C output.</t>
  </si>
  <si>
    <t>Generator Total kW Hours</t>
  </si>
  <si>
    <t>1 kWh / bit</t>
  </si>
  <si>
    <t>0 kWh</t>
  </si>
  <si>
    <t>0 to 4211081215 kWh</t>
  </si>
  <si>
    <t>1 kVArh/bit</t>
  </si>
  <si>
    <t>0 kVArh</t>
  </si>
  <si>
    <t>0 to 4211081215 kVArh</t>
  </si>
  <si>
    <t>Generator Total Percent kW</t>
  </si>
  <si>
    <t>Total real power delivered by the generator, as a percentage of generated rated power</t>
  </si>
  <si>
    <t>0.0078125 % / bit</t>
  </si>
  <si>
    <t>-251 %</t>
  </si>
  <si>
    <t>-251 to 250.99 %</t>
  </si>
  <si>
    <t>Generator Total Percent kVAr</t>
  </si>
  <si>
    <t>Generator Average Line-Line AC RMS Voltage Percent</t>
  </si>
  <si>
    <t>Generator Average AC RMS Frequency Percent</t>
  </si>
  <si>
    <t>Battery Voltage</t>
  </si>
  <si>
    <t>0.05 V / bit</t>
  </si>
  <si>
    <t>0 to 3212.75 V</t>
  </si>
  <si>
    <t>Engine Oil Pressure</t>
  </si>
  <si>
    <t>0.125 kPa / bit</t>
  </si>
  <si>
    <t>0 kPa</t>
  </si>
  <si>
    <t>0 to 8031.875 kPa</t>
  </si>
  <si>
    <t>Engine Coolant Temperature</t>
  </si>
  <si>
    <t>0.03125 C / bit</t>
  </si>
  <si>
    <t>-273 C</t>
  </si>
  <si>
    <t>-273 to 1735 C</t>
  </si>
  <si>
    <t>Engine Operating Hours</t>
  </si>
  <si>
    <t>0.05 hour / bit</t>
  </si>
  <si>
    <t>0 hr</t>
  </si>
  <si>
    <t>0 to 210554060.75 hour</t>
  </si>
  <si>
    <t>Air Filter 1 Differential Pressure from Data Link</t>
  </si>
  <si>
    <t>1 / 128 kPa / bit</t>
  </si>
  <si>
    <t>-250 kPa</t>
  </si>
  <si>
    <t>-250 to 251.99 kPa</t>
  </si>
  <si>
    <t>Intake Manifold #1 Temperature from Data Link</t>
  </si>
  <si>
    <t>Total Fuel Consumption from Data Link</t>
  </si>
  <si>
    <t>0.5 L / bit</t>
  </si>
  <si>
    <t>0 L</t>
  </si>
  <si>
    <t>0 to 2105540607.5 L</t>
  </si>
  <si>
    <t>Turbocharger 1 Compressor Inlet Temperature</t>
  </si>
  <si>
    <t>Turbocharger 2 Compressor Inlet Temperature</t>
  </si>
  <si>
    <t>Turbocharger 3 Compressor Inlet Temperature</t>
  </si>
  <si>
    <t>Turbocharger 4 Compressor Inlet Temperature</t>
  </si>
  <si>
    <t>Oil Filter Differential Pressure from Data Link</t>
  </si>
  <si>
    <t>Fuel Filter Differential Pressure from Data Link</t>
  </si>
  <si>
    <t>Fuel Level from Data Link</t>
  </si>
  <si>
    <t>Engine rpm</t>
  </si>
  <si>
    <t>0.125 rpm / bit</t>
  </si>
  <si>
    <t>0 rpm</t>
  </si>
  <si>
    <t>0 to 8031.875 rpm</t>
  </si>
  <si>
    <t>Exhaust Manifold #1 Temperature from Data Link</t>
  </si>
  <si>
    <t>Exhaust Manifold #2 Temperature from Data Link</t>
  </si>
  <si>
    <t>Engine Oil Temperature</t>
  </si>
  <si>
    <t>Engine Fuel Temperature from Data Link</t>
  </si>
  <si>
    <t>Fuel Pressure</t>
  </si>
  <si>
    <t>Crankcase Pressure from Data Link</t>
  </si>
  <si>
    <t>Boost Pressure from Data Link</t>
  </si>
  <si>
    <t>Engine Air Filter #2 Differential Pressure</t>
  </si>
  <si>
    <t>0.05 kPa / bit</t>
  </si>
  <si>
    <t>0 to 12.5 kPa</t>
  </si>
  <si>
    <t>Instantaneous Fuel Consumption from Data Link</t>
  </si>
  <si>
    <t>0.05 L/h per bit</t>
  </si>
  <si>
    <t>0 L/h</t>
  </si>
  <si>
    <t>0 to 3212.75 L/h</t>
  </si>
  <si>
    <t>Atmospheric Pressure from Data Link</t>
  </si>
  <si>
    <t>Turbocharger 1 Turbine Inlet Temperature</t>
  </si>
  <si>
    <t>Turbocharger 1 Turbine Outlet Temperature</t>
  </si>
  <si>
    <t>Turbocharger 2 Turbine Inlet Temperature</t>
  </si>
  <si>
    <t>Turbocharger 2 Turbine Outlet Temperature</t>
  </si>
  <si>
    <t>Turbocharger 3 Turbine Inlet Temperature</t>
  </si>
  <si>
    <t>Turbocharger 3 Turbine Outlet Temperature</t>
  </si>
  <si>
    <t>Turbocharger 4 Turbine Inlet Temperature</t>
  </si>
  <si>
    <t>Turbocharger 4 Turbine Outlet Temperature</t>
  </si>
  <si>
    <t>Compressor Inlet Air Temperature from Data Link</t>
  </si>
  <si>
    <t>1 C / bit</t>
  </si>
  <si>
    <t>-40 C</t>
  </si>
  <si>
    <t>-40 to 210 C</t>
  </si>
  <si>
    <t>Left Turbo Inlet Pressure from Data Link</t>
  </si>
  <si>
    <t>Right Turbo Inlet Pressure from Data Link</t>
  </si>
  <si>
    <t>Engine Aftercooler Inlet Temperature from Data Link</t>
  </si>
  <si>
    <t>Engine Aftercooler Outlet Temperature from Data Link</t>
  </si>
  <si>
    <t>Engine Turbocharger Compressor Bypass Actuator 1 Position</t>
  </si>
  <si>
    <t>0.4 % / bit</t>
  </si>
  <si>
    <t>0%</t>
  </si>
  <si>
    <t>0 to 100%</t>
  </si>
  <si>
    <t>Engine Turbo Charger Boost Pressure</t>
  </si>
  <si>
    <t>Intake Manifold #1 Absolute Pressure from Data Link</t>
  </si>
  <si>
    <t>1.0 kg / hr / bit</t>
  </si>
  <si>
    <t>0 to 500 kPa</t>
  </si>
  <si>
    <t>Engine Intake Manifold #1 Absolute Pressure (High Res)</t>
  </si>
  <si>
    <t>0.1 kPa / bit</t>
  </si>
  <si>
    <t>0 to 6425.5 kPa</t>
  </si>
  <si>
    <t>Engine Inlet Air Mass Flow Rate</t>
  </si>
  <si>
    <t>0.05 kg/h per bit</t>
  </si>
  <si>
    <t>0 kg/h</t>
  </si>
  <si>
    <t>0 to 3212.75 kg/h</t>
  </si>
  <si>
    <t>Engine Pre-filter Oil Pressure from Data Link</t>
  </si>
  <si>
    <t>4 kPa / bit</t>
  </si>
  <si>
    <t>0 to 1000 kPa</t>
  </si>
  <si>
    <t>Number of Crank Attempts</t>
  </si>
  <si>
    <t>1 / bit</t>
  </si>
  <si>
    <t>0</t>
  </si>
  <si>
    <t>0 to 4211081215</t>
  </si>
  <si>
    <t>Number of Successful Starts</t>
  </si>
  <si>
    <t>Service Maintenance Interval Hours Remaining</t>
  </si>
  <si>
    <t>1 hr / bit</t>
  </si>
  <si>
    <t>-32127 hr</t>
  </si>
  <si>
    <t>-32127 to 32128 hr</t>
  </si>
  <si>
    <t>Service Maintenance Interval Weeks Remaining</t>
  </si>
  <si>
    <t>1 day / bit</t>
  </si>
  <si>
    <t>-32127 days</t>
  </si>
  <si>
    <t>-32127 to 32128 days</t>
  </si>
  <si>
    <t>Cooldown Duration Remaining</t>
  </si>
  <si>
    <t>1 second / bit</t>
  </si>
  <si>
    <t>0 seconds</t>
  </si>
  <si>
    <t>0 to 64255 seconds</t>
  </si>
  <si>
    <t>Fuel Level</t>
  </si>
  <si>
    <t>Generator Circuit Breaker Status</t>
  </si>
  <si>
    <t>0 = OPEN
1 = CLOSED
2 = LOCKED OUT
7 = ERROR</t>
  </si>
  <si>
    <t>Auto Start Stop State</t>
  </si>
  <si>
    <t xml:space="preserve">Utility Average AC RMS Frequency </t>
  </si>
  <si>
    <t>Utility Average Line-Line  AC RMS Voltage</t>
  </si>
  <si>
    <t>Engine Speed</t>
  </si>
  <si>
    <t>Battery Voltage Monitor</t>
  </si>
  <si>
    <t>Phase A Winding Temp</t>
  </si>
  <si>
    <t>-273</t>
  </si>
  <si>
    <t>Phase B Winding Temp</t>
  </si>
  <si>
    <t>Phase C Winding Temp</t>
  </si>
  <si>
    <t>Generator Front Bearing Temperature</t>
  </si>
  <si>
    <t>Generator Rear Bearing Temperature</t>
  </si>
  <si>
    <t>Desired Engine Speed</t>
  </si>
  <si>
    <t>Number of Engine Cylinders</t>
  </si>
  <si>
    <t>0 to 65535</t>
  </si>
  <si>
    <t>Service Maintenance Interval Days Remaining</t>
  </si>
  <si>
    <t>1 week / bit</t>
  </si>
  <si>
    <t>-125 to 125 weeks</t>
  </si>
  <si>
    <t>Engine Oil to Engine Coolant Differential Temperature</t>
  </si>
  <si>
    <t>1.0 C / bit</t>
  </si>
  <si>
    <t>-273 to 32767 C</t>
  </si>
  <si>
    <t>Engine Coolant Temperature 2</t>
  </si>
  <si>
    <t>Engine Coolant Temperature 3</t>
  </si>
  <si>
    <t>Auxiliary Temperature #1 from Data Link</t>
  </si>
  <si>
    <t>Auxiliary Temperature #2 from Data Link</t>
  </si>
  <si>
    <t>Engine Coolant Pressure from Data Link</t>
  </si>
  <si>
    <t>2 kPa / bit</t>
  </si>
  <si>
    <t>Engine Air to Fuel Differential Pressure</t>
  </si>
  <si>
    <t>Engine Fuel Valve Differential Pressure</t>
  </si>
  <si>
    <t>Engine Turbocharger Compressor Control</t>
  </si>
  <si>
    <t>0.0025 % / bit</t>
  </si>
  <si>
    <t>0 to 160.6375 %</t>
  </si>
  <si>
    <t>Engine Throttle Valve Differential Pressure - CONFIRM SPN DEFINITION</t>
  </si>
  <si>
    <t>Desired Engine Throttle Valve Differential Pressure</t>
  </si>
  <si>
    <t>0 to 6550.3 kPa</t>
  </si>
  <si>
    <t>Hydraulic Pressure</t>
  </si>
  <si>
    <t>2kPA / bit</t>
  </si>
  <si>
    <t>0 to 128,510</t>
  </si>
  <si>
    <t>Fuild Bund Level</t>
  </si>
  <si>
    <t>Fuel Energy Content</t>
  </si>
  <si>
    <t>1 / 256 MJ / Nm^3 per bit</t>
  </si>
  <si>
    <t>0 to 250.996 MJ / Nm^3</t>
  </si>
  <si>
    <t>Engine Gaseous Fuel Correction Factor</t>
  </si>
  <si>
    <t>0.5 kPa / bit</t>
  </si>
  <si>
    <t>0 to 125 kPa</t>
  </si>
  <si>
    <t>Engine Fuel Specific Gravity</t>
  </si>
  <si>
    <t>0.0001 / bit</t>
  </si>
  <si>
    <t>0 to 6.4255</t>
  </si>
  <si>
    <t>Specific Heat Ratio</t>
  </si>
  <si>
    <t>0.001 / bit</t>
  </si>
  <si>
    <t>0 to 64.255</t>
  </si>
  <si>
    <t>Engine Percent Load At Current Speed</t>
  </si>
  <si>
    <t>Fuel Valve 1 Inlet Absolute Pressure from Data Link</t>
  </si>
  <si>
    <t>Engine Throttle Actuator #1 Control Command</t>
  </si>
  <si>
    <t>Actual Maximum Available Engine -Percent Fuel</t>
  </si>
  <si>
    <t>Urea Tank Level</t>
  </si>
  <si>
    <t>Aftertreatment #1 SCR Catalyst Reagent Tank #1 Temperature</t>
  </si>
  <si>
    <t>Urea Injection Air Supply Pressure</t>
  </si>
  <si>
    <t>Catalyst Intake Temperature</t>
  </si>
  <si>
    <t>Aftertreatment 1 SCR Catalyst Exhaust Gas Differential Pressure</t>
  </si>
  <si>
    <t>Aftertreatment Soot Load Level</t>
  </si>
  <si>
    <t>SCR System State</t>
  </si>
  <si>
    <t>0000 ($0) = Sleep Mode
0001 ($1) = Preparing
0010 ($2)  = Normal
0011 ($3)  = System Error Pending
0100 ($4) = DEF Purging
0101 ($5)  = Heat Protection
0110 ($6)  = Cold Protection
0111 ($7) = Shutoff
1000 ($8) = Diagnosis
1001 ($9) = Service Mode, Dose Allowed
1010 ($10) = Service Mode, Dose Not Allowed / Dose Inhibit
1011 ($11) = Ok to Power Down
1100 ($12) = Reserved for future use.
1101 ($13) = Reserved for future use.
1110 ($14) = Error
1111 ($15) = Not Available</t>
  </si>
  <si>
    <t>Aftertreatment DEF Dosing Temperature</t>
  </si>
  <si>
    <t>Aftertreatment Total DEF Used</t>
  </si>
  <si>
    <t>Time Since Aftertreatment Inducement</t>
  </si>
  <si>
    <t>0.2 hour / bit</t>
  </si>
  <si>
    <t>0 hours</t>
  </si>
  <si>
    <t>0 to 12851 hours</t>
  </si>
  <si>
    <t>Time Until Aftertreatment Inducement</t>
  </si>
  <si>
    <t>0.25 hour / bit</t>
  </si>
  <si>
    <t>0 to 62.5 hours</t>
  </si>
  <si>
    <t>SCR Operator Inducement Override Mode</t>
  </si>
  <si>
    <t>000 = Not Enabled
001 = Available Not Active
010 = Active
011 = Active Extended
100 = Expired
101 = Not Defined
110 = Not Defined
111 = Not Available</t>
  </si>
  <si>
    <t>SCR Operator Inducement Override Time Remaining</t>
  </si>
  <si>
    <t>1 minute / bit</t>
  </si>
  <si>
    <t>0 to 64255 mins</t>
  </si>
  <si>
    <t>Aftertreatment 1 SCR System Hydrocarbon</t>
  </si>
  <si>
    <t>Gas Substitution Status</t>
  </si>
  <si>
    <t>Maximum Gas Substitution Percentage</t>
  </si>
  <si>
    <t>Gas Substitution Reduction Reason</t>
  </si>
  <si>
    <t>0 - NONE
1- DIAG ACTIVE
2- LOW LOAD
3 - HI TURBO TEMP
4 - HI DET LVL
5 - HI VALVE CMD</t>
  </si>
  <si>
    <t>Actual Gas Substitution Percentage</t>
  </si>
  <si>
    <t>Gas Substitution System Enable Status</t>
  </si>
  <si>
    <t>$000C=Enabled
$000D=Disabled</t>
  </si>
  <si>
    <t>Fuel Shutoff 1 Control from Data Link</t>
  </si>
  <si>
    <t>Total Fuel Used without Gas Substitution</t>
  </si>
  <si>
    <t>Fuel Consumption Rate without Gas Substitution</t>
  </si>
  <si>
    <t>Resettable Fuel Used</t>
  </si>
  <si>
    <t>0.125 Gal/bit</t>
  </si>
  <si>
    <t>0 to 536870907.87 Gal</t>
  </si>
  <si>
    <t>Resettable Equivalent Fuel Used Without Gas Substitution</t>
  </si>
  <si>
    <t>Desired Ignition Timing</t>
  </si>
  <si>
    <t>Engine Actual Ignition Timing</t>
  </si>
  <si>
    <t>Engine Fuel Valve #1 Position</t>
  </si>
  <si>
    <t>Requested Engine Fuel Valve #1 Position</t>
  </si>
  <si>
    <t>Engine Throttle Valve Position</t>
  </si>
  <si>
    <t>Desired Engine Throttle Valve Position</t>
  </si>
  <si>
    <t>Emissions Feedback Mode</t>
  </si>
  <si>
    <t>394 = Combustion Time (CT) 
395 = Exhaust Temperature (EXH TEMP)
396 = Oxygen (OXYGEN)
397 = Calibration (CALIBRATE)
398 = No Feedback (DISABLED)
938 = Charge Density (CD) 
995 = NOx  (NOx)
1003 = Disabled (DISABLED)</t>
  </si>
  <si>
    <t>Three Way Catalyst Intake Temperature</t>
  </si>
  <si>
    <t>Three Way Catalyst Outlet Temperature</t>
  </si>
  <si>
    <t>Three Way Catalyst Differential Temperature</t>
  </si>
  <si>
    <t>Aftertreatment Intake O2 Percent</t>
  </si>
  <si>
    <t>Aftertreatment Outlet O2 Percent</t>
  </si>
  <si>
    <t>Oxygen Sensor Status</t>
  </si>
  <si>
    <t>Oxygen Sensor Closed Loop Operation</t>
  </si>
  <si>
    <t>Intake Oxygen Sensor Voltage</t>
  </si>
  <si>
    <t>0.5 mV / bit</t>
  </si>
  <si>
    <t>0 to 32127.5 mV</t>
  </si>
  <si>
    <t>Desired Intake Oxygen Sensor Voltage</t>
  </si>
  <si>
    <t>Outlet Oxygen Sensor Voltage</t>
  </si>
  <si>
    <t>Desired Outlet Oxygen Sensor Voltage</t>
  </si>
  <si>
    <t>Intake Oxygen Sensor Fuel Trim Percentage</t>
  </si>
  <si>
    <t>0.01 % / bit</t>
  </si>
  <si>
    <t>-320 %</t>
  </si>
  <si>
    <t>-320 to 322.55 %</t>
  </si>
  <si>
    <t>Outlet Oxygen Sensor Fuel Trim Percentage</t>
  </si>
  <si>
    <t>Engine Running Status</t>
  </si>
  <si>
    <t>Engine Ventilation Status</t>
  </si>
  <si>
    <t>01 = TRUE</t>
  </si>
  <si>
    <t>Gas Fuel Flow</t>
  </si>
  <si>
    <t>Desired Air to Fuel Ratio</t>
  </si>
  <si>
    <t>0 to 65.503</t>
  </si>
  <si>
    <t>Actual Air to Fuel Ratio</t>
  </si>
  <si>
    <t>0.1 / bit</t>
  </si>
  <si>
    <t>0.0 to 30.0</t>
  </si>
  <si>
    <t>Intake Manifold Air Flow</t>
  </si>
  <si>
    <t>1 SCFM / bit</t>
  </si>
  <si>
    <t>0 to 65503 SCFM</t>
  </si>
  <si>
    <t>Desired Intake Manifold Air Pressure</t>
  </si>
  <si>
    <t>Choke Position Command</t>
  </si>
  <si>
    <t>Wastegate Position Command</t>
  </si>
  <si>
    <t>Exhaust NOx Level</t>
  </si>
  <si>
    <t>0.05 ppm / bit</t>
  </si>
  <si>
    <t>0 to 3275.15 ppm</t>
  </si>
  <si>
    <t>Desired Exhaust NOx Level</t>
  </si>
  <si>
    <t>Exhaust NOx Level Sensor Status</t>
  </si>
  <si>
    <t>0 =OFF
14 = ACTIVE
15 = INACTIVE
1004 = HEATING</t>
  </si>
  <si>
    <t>Three Way Catalyst Differential Pressure</t>
  </si>
  <si>
    <t>Engine Low Idle Switch Position</t>
  </si>
  <si>
    <t>Engine Emergency Shutdown Indication</t>
  </si>
  <si>
    <t>Engine Auxiliary Shutdown Switch</t>
  </si>
  <si>
    <t>Engine Oil Priming State</t>
  </si>
  <si>
    <t>Engine Oil Priming Switch</t>
  </si>
  <si>
    <t>Starter Relay Coil Status</t>
  </si>
  <si>
    <t>0=NOT ENERGIZED</t>
  </si>
  <si>
    <t>Engine Starter Mode</t>
  </si>
  <si>
    <t>0000 = Start Not Requested (NOT REQ)
0001 = Starter Active, Gear Not Engaged (NOT ENGAGE)
0010 = Starter Active, Gear Engaged (ENGAGED)
0011 = Start Finished, Starter Not Active (NOT ACTIVE)
0100 = Starter Inhibited, Engine Running (RUNNING)
0101 = Starter Inhibited, Engine Not Ready (NOT READY)
0110 = Starter Inhibited, Driveline Engaged (DRIVELINE)
0111 = Starter Inhibited, Active Immobilizer (IMMOBILIZER)
1000 = Starter Inhibited, Over-temp (OVER TEMP)
1001 = Starter Inhibited,  Air Shutoff Valve Active (AIR SHUTOFF)
1010 = Starter Inhibited, SCR Inducement Active (SCR ACTIVE)
1011 = Reserved (RESERVED)
1100 = Starter Inhibited, Reason Unkown (UNKNOWN)
1101 = Error (legacy) (ERROR)
1110 = Error (ERROR)
1111 = Not Available (NOT AVAIL)</t>
  </si>
  <si>
    <t>Engine Hydraulic Pressure Governor Switch</t>
  </si>
  <si>
    <t>0 = OFF
1 = ON
2 = ERROR
3 = NOT AVAILABLE</t>
  </si>
  <si>
    <t>Engine Pre-Lube Mode</t>
  </si>
  <si>
    <t>Engine Derate Percentage</t>
  </si>
  <si>
    <t>Engine Power Derate Relative Humidity Difference</t>
  </si>
  <si>
    <t>Operator Inducement Torque Derate Level 1</t>
  </si>
  <si>
    <t>Operator Inducement Time to Torque Derate Level 1</t>
  </si>
  <si>
    <t>Operator Inducement Torque Derate Level 2</t>
  </si>
  <si>
    <t>Operator Inducement Time to Torque Derate Level 2</t>
  </si>
  <si>
    <t>Operator Inducement Time to Final Inducement Action</t>
  </si>
  <si>
    <t>Cylinder #1 Exhaust Port Temperature from Data Link</t>
  </si>
  <si>
    <t>Cylinder #2 Exhaust Port Temperature from Data Link</t>
  </si>
  <si>
    <t>Cylinder #3 Exhaust Port Temperature from Data Link</t>
  </si>
  <si>
    <t>Cylinder #4 Exhaust Port Temperature from Data Link</t>
  </si>
  <si>
    <t>Cylinder #5 Exhaust Port Temperature from Data Link</t>
  </si>
  <si>
    <t>Cylinder #6 Exhaust Port Temperature from Data Link</t>
  </si>
  <si>
    <t>Cylinder #7 Exhaust Port Temperature from Data Link</t>
  </si>
  <si>
    <t>Cylinder #8 Exhaust Port Temperature from Data Link</t>
  </si>
  <si>
    <t>Cylinder #9 Exhaust Port Temperature from Data Link</t>
  </si>
  <si>
    <t>Cylinder #10 Exhaust Port Temperature from Data Link</t>
  </si>
  <si>
    <t>Cylinder #11 Exhaust Port Temperature from Data Link</t>
  </si>
  <si>
    <t>Cylinder #12 Exhaust Port Temperature from Data Link</t>
  </si>
  <si>
    <t>Cylinder #13 Exhaust Port Temperature from Data Link</t>
  </si>
  <si>
    <t>Cylinder #14 Exhaust Port Temperature from Data Link</t>
  </si>
  <si>
    <t>Cylinder #15 Exhaust Port Temperature from Data Link</t>
  </si>
  <si>
    <t>Cylinder #16 Exhaust Port Temperature from Data Link</t>
  </si>
  <si>
    <t>Cylinder #17 Exhaust Port Temperature from Data Link</t>
  </si>
  <si>
    <t>Cylinder #18 Exhaust Port Temperature from Data Link</t>
  </si>
  <si>
    <t>Cylinder #19 Exhaust Port Temperature from Data Link</t>
  </si>
  <si>
    <t>Cylinder #20 Exhaust Port Temperature from Data Link</t>
  </si>
  <si>
    <t>Exhaust Gas Temperature Average from Data Link</t>
  </si>
  <si>
    <t>Allowable Engine Cylinder Temperature High Limit from Average</t>
  </si>
  <si>
    <t>Allowable Engine Cylinder Temperature Low Limit from Average</t>
  </si>
  <si>
    <t>Exhaust Temperature from Data Link</t>
  </si>
  <si>
    <t>Exhaust Gas Temperature Average - Bank 2 (Right) from Data Link</t>
  </si>
  <si>
    <t>Exhaust Gas Temperature Average - Bank 1 (Left) from Data Link</t>
  </si>
  <si>
    <t>Engine Turbocharger 1 Compressor Outlet Temperature</t>
  </si>
  <si>
    <t>Cylinder #1 Ignition Transformer Secondary Output from Data Link</t>
  </si>
  <si>
    <t>1% / bit</t>
  </si>
  <si>
    <t>-125% to 125%</t>
  </si>
  <si>
    <t>Cylinder #2 Ignition Transformer Secondary Output from Data Link</t>
  </si>
  <si>
    <t>Cylinder #3 Ignition Transformer Secondary Output from Data Link</t>
  </si>
  <si>
    <t>Cylinder #4 Ignition Transformer Secondary Output from Data Link</t>
  </si>
  <si>
    <t>Cylinder #5 Ignition Transformer Secondary Output from Data Link</t>
  </si>
  <si>
    <t>Cylinder #6 Ignition Transformer Secondary Output from Data Link</t>
  </si>
  <si>
    <t>Cylinder #7 Ignition Transformer Secondary Output from Data Link</t>
  </si>
  <si>
    <t>Cylinder #8 Ignition Transformer Secondary Output from Data Link</t>
  </si>
  <si>
    <t>Cylinder #9 Ignition Transformer Secondary Output from Data Link</t>
  </si>
  <si>
    <t>Cylinder #10 Ignition Transformer Secondary Output from Data Link</t>
  </si>
  <si>
    <t>Cylinder #11 Ignition Transformer Secondary Output from Data Link</t>
  </si>
  <si>
    <t>Cylinder #12 Ignition Transformer Secondary Output from Data Link</t>
  </si>
  <si>
    <t>Cylinder #13 Ignition Transformer Secondary Output from Data Link</t>
  </si>
  <si>
    <t>Cylinder #14 Ignition Transformer Secondary Output from Data Link</t>
  </si>
  <si>
    <t>Cylinder #15 Ignition Transformer Secondary Output from Data Link</t>
  </si>
  <si>
    <t>Cylinder #16 Ignition Transformer Secondary Output from Data Link</t>
  </si>
  <si>
    <t>Cylinder #17 Ignition Transformer Secondary Output from Data Link</t>
  </si>
  <si>
    <t>Cylinder #18 Ignition Transformer Secondary Output from Data Link</t>
  </si>
  <si>
    <t>Cylinder #19 Ignition Transformer Secondary Output from Data Link</t>
  </si>
  <si>
    <t>Cylinder #20 Ignition Transformer Secondary Output from Data Link</t>
  </si>
  <si>
    <t>Cylinder # 1 Combustion (Burn) Time</t>
  </si>
  <si>
    <t>0.01 ms / bit</t>
  </si>
  <si>
    <t>0 to 642.55 ms</t>
  </si>
  <si>
    <t>Cylinder # 2 Combustion (Burn) Time</t>
  </si>
  <si>
    <t>Cylinder # 3 Combustion (Burn) Time</t>
  </si>
  <si>
    <t>Cylinder # 4 Combustion (Burn) Time</t>
  </si>
  <si>
    <t>Cylinder # 5 Combustion (Burn) Time</t>
  </si>
  <si>
    <t>Cylinder # 6 Combustion (Burn) Time</t>
  </si>
  <si>
    <t>Cylinder # 7 Combustion (Burn) Time</t>
  </si>
  <si>
    <t>Cylinder # 8 Combustion (Burn) Time</t>
  </si>
  <si>
    <t>Cylinder # 9 Combustion (Burn) Time</t>
  </si>
  <si>
    <t>Cylinder # 10 Combustion (Burn) Time</t>
  </si>
  <si>
    <t>Cylinder # 11 Combustion (Burn) Time</t>
  </si>
  <si>
    <t>Cylinder # 12 Combustion (Burn) Time</t>
  </si>
  <si>
    <t>Cylinder # 13 Combustion (Burn) Time</t>
  </si>
  <si>
    <t>Cylinder # 14 Combustion (Burn) Time</t>
  </si>
  <si>
    <t>Cylinder # 15 Combustion (Burn) Time</t>
  </si>
  <si>
    <t>Cylinder # 16 Combustion (Burn) Time</t>
  </si>
  <si>
    <t>Cylinder # 17 Combustion (Burn) Time</t>
  </si>
  <si>
    <t>Cylinder # 18 Combustion (Burn) Time</t>
  </si>
  <si>
    <t>Cylinder # 19 Combustion (Burn) Time</t>
  </si>
  <si>
    <t>Cylinder # 20 Combustion (Burn) Time</t>
  </si>
  <si>
    <t>Engine Knock (Detonation) Level</t>
  </si>
  <si>
    <t>Engine Peak Knock (Detonation) Level</t>
  </si>
  <si>
    <t>0.1 % / bit</t>
  </si>
  <si>
    <t>0 to 6550.3%</t>
  </si>
  <si>
    <t>Cylinder # 1 Ignition Timing</t>
  </si>
  <si>
    <t>Cylinder # 2 Ignition Timing</t>
  </si>
  <si>
    <t>Cylinder # 3 Ignition Timing</t>
  </si>
  <si>
    <t>Cylinder # 4 Ignition Timing</t>
  </si>
  <si>
    <t>Cylinder # 5 Ignition Timing</t>
  </si>
  <si>
    <t>Cylinder # 6 Ignition Timing</t>
  </si>
  <si>
    <t>Cylinder # 7 Ignition Timing</t>
  </si>
  <si>
    <t>Cylinder # 8 Ignition Timing</t>
  </si>
  <si>
    <t>Cylinder # 9 Ignition Timing</t>
  </si>
  <si>
    <t>Cylinder # 10 Ignition Timing</t>
  </si>
  <si>
    <t>Cylinder # 11 Ignition Timing</t>
  </si>
  <si>
    <t>Cylinder # 12 Ignition Timing</t>
  </si>
  <si>
    <t>Cylinder # 13 Ignition Timing</t>
  </si>
  <si>
    <t>Cylinder # 14 Ignition Timing</t>
  </si>
  <si>
    <t>Cylinder # 15 Ignition Timing</t>
  </si>
  <si>
    <t>Cylinder # 16 Ignition Timing</t>
  </si>
  <si>
    <t>Cylinder # 17 Ignition Timing</t>
  </si>
  <si>
    <t>Cylinder # 18 Ignition Timing</t>
  </si>
  <si>
    <t>Cylinder # 19 Ignition Timing</t>
  </si>
  <si>
    <t>Cylinder # 20 Ignition Timing</t>
  </si>
  <si>
    <t>Cylinder #21 Exhaust Port Temperature from Data Link</t>
  </si>
  <si>
    <t>Cylinder #21 Combustion (Burn) Time</t>
  </si>
  <si>
    <t>Cylinder #21 Ignition Timing</t>
  </si>
  <si>
    <t>Cylinder #21 Ignition Transformer Secondary Output from Data Link</t>
  </si>
  <si>
    <t>Engine Cylinder #21 Knock Level</t>
  </si>
  <si>
    <t>Cylinder #22 Exhaust Port Temperature from Data Link</t>
  </si>
  <si>
    <t>Cylinder #22 Combustion (Burn) Time</t>
  </si>
  <si>
    <t>Cylinder #22 Ignition Timing</t>
  </si>
  <si>
    <t>Cylinder #22 Ignition Transformer Secondary Output from Data Link</t>
  </si>
  <si>
    <t>Engine Cylinder #22 Knock Level</t>
  </si>
  <si>
    <t>Cylinder #23 Exhaust Port Temperature from Data Link</t>
  </si>
  <si>
    <t>Cylinder #23 Combustion (Burn) Time</t>
  </si>
  <si>
    <t>Cylinder #23 Ignition Timing</t>
  </si>
  <si>
    <t>Cylinder #23 Ignition Transformer Secondary Output from Data Link</t>
  </si>
  <si>
    <t>Engine Cylinder #23 Knock Level</t>
  </si>
  <si>
    <t>Cylinder #24 Exhaust Port Temperature from Data Link</t>
  </si>
  <si>
    <t>Cylinder #24 Combustion (Burn) Time</t>
  </si>
  <si>
    <t>Cylinder #24 Ignition Timing</t>
  </si>
  <si>
    <t>Cylinder #24 Ignition Transformer Secondary Output from Data Link</t>
  </si>
  <si>
    <t>Engine Cylinder #24 Knock Level</t>
  </si>
  <si>
    <t xml:space="preserve">Engine Average Combustion Time </t>
  </si>
  <si>
    <t>Primary Data Link Status</t>
  </si>
  <si>
    <t>00 = OK
01 = FAULT
11 = DISABLED OR NOT AVAILABLE</t>
  </si>
  <si>
    <t>Accessory Data Link Status</t>
  </si>
  <si>
    <t>Ethernet Port Statistics: Rx Bytes</t>
  </si>
  <si>
    <t>"4 Regs for each Port in the following order
/* PHY 0 -&gt; CPU */
/* PHY 1 -&gt; 2 Wire Port#A */
/* PHY 2 -&gt; 2 Wire Port#B */
/* PHY 3 -&gt; 4 Wire Port#1 */
/* PHY 4 -&gt; 4 Wire Port#2 */
/* PHY 5 -&gt; 4 Wire Port#3 */
/* PHY 6 -&gt; 4 Wire Port#4 */"</t>
  </si>
  <si>
    <t>Ethernet Port Statistics: Tx Bytes</t>
  </si>
  <si>
    <t>Ethernet Port Statistics: Rx Errors</t>
  </si>
  <si>
    <t>Ethernet Port Statistics: Tx Errors</t>
  </si>
  <si>
    <t>Ethernet Port Statistics: Rx Dropped</t>
  </si>
  <si>
    <t>Ethernet Port Statistics: Late Collision</t>
  </si>
  <si>
    <t>Ethernet Port Statistics: Excessive Collision</t>
  </si>
  <si>
    <t>Ethernet Port Statistics: Tx Dropped</t>
  </si>
  <si>
    <t>Ethernet 4-Wire Port #1 Status</t>
  </si>
  <si>
    <t>Ethernet 4-Wire Port #2 Status</t>
  </si>
  <si>
    <t>Ethernet 4-Wire Port #3 Status</t>
  </si>
  <si>
    <t>Ethernet 4-Wire Port #4 Status</t>
  </si>
  <si>
    <t>RS-485 Annunciator Data Link Status</t>
  </si>
  <si>
    <t>Fuel Load Pump Active</t>
  </si>
  <si>
    <t>Force Idle Status (From any source)</t>
  </si>
  <si>
    <t>Power System Software Group Number A6L3 Device Info</t>
  </si>
  <si>
    <t>0x00 to 0x7F for each byte (char)</t>
  </si>
  <si>
    <t>Power System Software Version A6L3 Device Info</t>
  </si>
  <si>
    <t>Power System Control Hardware Part Number A6L3 Device Info</t>
  </si>
  <si>
    <t>Power System Control Serial Number A6L3 Device Info</t>
  </si>
  <si>
    <t xml:space="preserve">Engine ID/Model </t>
  </si>
  <si>
    <t>Engine Serial Number</t>
  </si>
  <si>
    <t>Software Group Part Number Engine Device Info</t>
  </si>
  <si>
    <t>Personality Module Part Number Engine Device Info</t>
  </si>
  <si>
    <t>Engine Rating Map #</t>
  </si>
  <si>
    <t>Programmable Cycle Timer 1 Output 1 Status</t>
  </si>
  <si>
    <t>bits 15:2 UNUSED
bits 1:0 Timer Status</t>
  </si>
  <si>
    <t>Programmable Cycle Timer 2 Output 1 Status</t>
  </si>
  <si>
    <t>Programmable Cycle Timer 3 Output 1 Status</t>
  </si>
  <si>
    <t>Programmable Cycle Timer 4 Output 1 Status</t>
  </si>
  <si>
    <t>Programmable Cycle Timer 5 Output 1 Status</t>
  </si>
  <si>
    <t>Programmable Cycle Timer 6 Output 1 Status</t>
  </si>
  <si>
    <t>Programmable Cycle Timer 7 Output 1 Status</t>
  </si>
  <si>
    <t>Programmable Cycle Timer 1 Output 2 Status</t>
  </si>
  <si>
    <t>Programmable Cycle Timer 2 Output 2 Status</t>
  </si>
  <si>
    <t>Programmable Cycle Timer 3 Output 2 Status</t>
  </si>
  <si>
    <t>Programmable Cycle Timer 4 Output 2 Status</t>
  </si>
  <si>
    <t>Programmable Cycle Timer 5 Output 2 Status</t>
  </si>
  <si>
    <t>Programmable Cycle Timer 6 Output 2 Status</t>
  </si>
  <si>
    <t>Programmable Cycle Timer 7 Output 2 Status</t>
  </si>
  <si>
    <t>Fuel Pump Primer Status to Display</t>
  </si>
  <si>
    <t>00 = Priming Inactive
01 = Priming Active
10 = Priming Inappropriate
11 = Data Unavailable</t>
  </si>
  <si>
    <t>Manual Fuel Priming Duration Remaining</t>
  </si>
  <si>
    <t>0.25 seconds / bit</t>
  </si>
  <si>
    <t>0 to 62.5 seconds</t>
  </si>
  <si>
    <t>DIO Status 1</t>
  </si>
  <si>
    <t>DIO Status 2</t>
  </si>
  <si>
    <t>Analog Input #1 Sensor Value</t>
  </si>
  <si>
    <t>1/16 / bit</t>
  </si>
  <si>
    <t>-16 to 3999.9375</t>
  </si>
  <si>
    <t>Analog Input #2 Sensor Value</t>
  </si>
  <si>
    <t>Analog Input #3 Sensor Value</t>
  </si>
  <si>
    <t>Analog Input #1 Data Value</t>
  </si>
  <si>
    <t>1/256 / bit</t>
  </si>
  <si>
    <t>Analog Input #2 Data Value</t>
  </si>
  <si>
    <t>Analog Input #3 Data Value</t>
  </si>
  <si>
    <t>Analog Output #1 Data Value</t>
  </si>
  <si>
    <t>Analog Output #2 Data Value</t>
  </si>
  <si>
    <t>Analog Output #1 Output Value</t>
  </si>
  <si>
    <t>Analog Output #2 Output Value</t>
  </si>
  <si>
    <t>PWM Output #1 Data Value</t>
  </si>
  <si>
    <t>PWM Output #2 Data Value</t>
  </si>
  <si>
    <t>PWM Output #3 Data Value</t>
  </si>
  <si>
    <t>PWM Output #1 Output Percentage</t>
  </si>
  <si>
    <t>PWM Output #2 Output Percentage</t>
  </si>
  <si>
    <t>PWM Output #3 Output Percentage</t>
  </si>
  <si>
    <t>Engine Emissions Operator Inducement Emergency Override Active Status</t>
  </si>
  <si>
    <t>"0=inactive
1=active"</t>
  </si>
  <si>
    <t>Utility Circuit Breaker Status</t>
  </si>
  <si>
    <t>Indicates the system status of the lamp</t>
  </si>
  <si>
    <t>SCADA Alarm Group #1</t>
  </si>
  <si>
    <t>SCADA Alarm Group #2</t>
  </si>
  <si>
    <t>SCADA Alarm Group #3</t>
  </si>
  <si>
    <t>SCADA Alarm Group #4</t>
  </si>
  <si>
    <t>SCADA Alarm Group #5</t>
  </si>
  <si>
    <t>SCADA Alarm Group #6</t>
  </si>
  <si>
    <t>SCADA Alarm Group #7</t>
  </si>
  <si>
    <t>SCADA Alarm Group #8</t>
  </si>
  <si>
    <t>SCADA Alarm Group #9</t>
  </si>
  <si>
    <t>SCADA Alarm Group #10</t>
  </si>
  <si>
    <t xml:space="preserve">Telematics Cellular Packet Data Protocol (PDP) Context Activation Status </t>
  </si>
  <si>
    <t xml:space="preserve">Number of GPS Satellites </t>
  </si>
  <si>
    <t xml:space="preserve">Telematics Cellular Signal Quality </t>
  </si>
  <si>
    <t xml:space="preserve">Telematics Satellite Communication Status </t>
  </si>
  <si>
    <t xml:space="preserve">Telematics Communications Modem (Satellite) Signal Quality </t>
  </si>
  <si>
    <t>RDI Status 1</t>
  </si>
  <si>
    <t>RDI Status 2</t>
  </si>
  <si>
    <t>RDI Status 3</t>
  </si>
  <si>
    <t>RDO Status 1</t>
  </si>
  <si>
    <t>RDO Status 2</t>
  </si>
  <si>
    <t>RDO Status 3</t>
  </si>
  <si>
    <t>Remote Analog Input #1 Sensor Value</t>
  </si>
  <si>
    <t>Remote Analog Input #2 Sensor Value</t>
  </si>
  <si>
    <t>Remote Analog Input #3 Sensor Value</t>
  </si>
  <si>
    <t>Remote Analog Input #4 Sensor Value</t>
  </si>
  <si>
    <t>Remote Analog Input #5 Sensor Value</t>
  </si>
  <si>
    <t>Remote Analog Input #6 Sensor Value</t>
  </si>
  <si>
    <t>Remote Analog Input #7 Sensor Value</t>
  </si>
  <si>
    <t>Remote Analog Input #8 Sensor Value</t>
  </si>
  <si>
    <t>Remote Analog Input #1 Data Value</t>
  </si>
  <si>
    <t>Remote Analog Input #2 Data Value</t>
  </si>
  <si>
    <t>Remote Analog Input #3 Data Value</t>
  </si>
  <si>
    <t>Remote Analog Input #4 Data Value</t>
  </si>
  <si>
    <t>Remote Analog Input #5 Data Value</t>
  </si>
  <si>
    <t>Remote Analog Input #6 Data Value</t>
  </si>
  <si>
    <t>Remote Analog Input #7 Data Value</t>
  </si>
  <si>
    <t>Remote Analog Input #8 Data Value</t>
  </si>
  <si>
    <t>Remote Analog Output #1 Data Value</t>
  </si>
  <si>
    <t>Remote Analog Output #2 Data Value</t>
  </si>
  <si>
    <t>Remote Analog Output #3 Data Value</t>
  </si>
  <si>
    <t>Remote Analog Output #4 Data Value</t>
  </si>
  <si>
    <t>Remote Analog Output #5 Data Value</t>
  </si>
  <si>
    <t>Remote Analog Output #6 Data Value</t>
  </si>
  <si>
    <t>Remote Analog Output #7 Data Value</t>
  </si>
  <si>
    <t>Remote Analog Output #8 Data Value</t>
  </si>
  <si>
    <t>Remote Analog Output #1 Output Value</t>
  </si>
  <si>
    <t>Remote Analog Output #2 Output Value</t>
  </si>
  <si>
    <t>Remote Analog Output #3 Output Value</t>
  </si>
  <si>
    <t>Remote Analog Output #4 Output Value</t>
  </si>
  <si>
    <t>Remote Analog Output #5 Output Value</t>
  </si>
  <si>
    <t>Remote Analog Output #6 Output Value</t>
  </si>
  <si>
    <t>Remote Analog Output #7 Output Value</t>
  </si>
  <si>
    <t>Remote Analog Output #8 Output Value</t>
  </si>
  <si>
    <t>Remote RTD Temperature #1</t>
  </si>
  <si>
    <t>Remote RTD Temperature #2</t>
  </si>
  <si>
    <t>Remote RTD Temperature #3</t>
  </si>
  <si>
    <t>Remote RTD Temperature #4</t>
  </si>
  <si>
    <t>RDI Super Status 1</t>
  </si>
  <si>
    <t>RDI Super Status 2</t>
  </si>
  <si>
    <t>RDI Super Status 3</t>
  </si>
  <si>
    <t>RDO Super Status 1</t>
  </si>
  <si>
    <t>RDO Super Status 2</t>
  </si>
  <si>
    <t>RDO Super Status 3</t>
  </si>
  <si>
    <t>Analog In Supervisor Status</t>
  </si>
  <si>
    <t>Analog Out Supervisor Status</t>
  </si>
  <si>
    <t>Remote RTD Supervisor Status</t>
  </si>
  <si>
    <t>Programmable Logic Function File Name</t>
  </si>
  <si>
    <t>Programmable Logic Function File Login Username</t>
  </si>
  <si>
    <t>Programmable Logic Function File Download Time/Date</t>
  </si>
  <si>
    <t>Programmable Logic Function File Modified Time/Date</t>
  </si>
  <si>
    <t>Average AC frequency measured at the generator output.</t>
  </si>
  <si>
    <t>The total kilowatt-hours that have been exported by the generator.</t>
  </si>
  <si>
    <t>The total kilovar-hours that have been exported by the generator.</t>
  </si>
  <si>
    <t>Temperature of the bearing inside the alternator. This is the right or
front bearing.</t>
  </si>
  <si>
    <t>Temperature of the bearing inside the alternator. This is the left or
rear bearing.</t>
  </si>
  <si>
    <t>Temperature of the Phase A winding inside the alternator.</t>
  </si>
  <si>
    <t>Temperature of the Phase B winding inside the alternator.</t>
  </si>
  <si>
    <t>Temperature of the Phase C winding inside the alternator.</t>
  </si>
  <si>
    <t>Fuel level, as read from i/o pin.</t>
  </si>
  <si>
    <t>Oil temp, independent of source. I/o pin (if configured) takes
precedence over datalink.</t>
  </si>
  <si>
    <t>Gauge pressure of oil in engine lubrication system as provided by
oil pump.</t>
  </si>
  <si>
    <t>Temperature of liquid found in engine cooling system.</t>
  </si>
  <si>
    <t>Engine rotational speed calculated in revolutions per minute.</t>
  </si>
  <si>
    <t>Accumulated time that the engine is running.</t>
  </si>
  <si>
    <t>Maximum time in operation until the next service inspection is required. This number is negative if a service inspection is overdue.</t>
  </si>
  <si>
    <t>Maximum calendar days until the next service inspection is required. This number is negative if a service inspection is
overdue.</t>
  </si>
  <si>
    <t>Accumulated number of crank attempts made by the engine.</t>
  </si>
  <si>
    <t>Accumulated number of successful starts of the engine.</t>
  </si>
  <si>
    <t>Temperature at the cylinder exhaust port of the engine, as received from another module on the CAN Data Link.</t>
  </si>
  <si>
    <t>Temperature at the cylinder exhaust port of the engine, as received
from another module on the CAN Data Link.</t>
  </si>
  <si>
    <t>Temperature of combustion byproducts within the left engine exhaust manifold, as received from another module on the CAN Data Link.</t>
  </si>
  <si>
    <t>Temperature of combustion byproducts within the right engine exhaust manifold, as received from another module on the CAN
Data Link.</t>
  </si>
  <si>
    <t>Temperature of pre-combustion air found in intake manifold #1 of engine air supply system, as received from another module on the CAN Data Link.</t>
  </si>
  <si>
    <t>Temperature of the engine fuel as received from another module on the CAN Data Link.</t>
  </si>
  <si>
    <t>Gauge pressure of fuel in system as delivered from supply pump to the injection pump, as received from another module on the CAN Data Link.</t>
  </si>
  <si>
    <t>Gauge pressure inside engine crankcase, as received from another
module on the CAN Data Link.</t>
  </si>
  <si>
    <t>Gauge pressure of air measured downstream on the compressor discharge side of the turbocharger, as received from another
module on the CAN Data Link.</t>
  </si>
  <si>
    <t>Change in engine oil pressure, measured across the filter, due to the filter and any accumulation of solid or semisolid material on or in the filter, as received from another module on the CAN Data
Link.</t>
  </si>
  <si>
    <t>Change in fuel delivery pressure, measured across the filter, due to accumulation of solid or semisolid matter on the filter element, as received from another module on the CAN Data Link.</t>
  </si>
  <si>
    <t>Total amount of fuel used by engine, as received from another
module on the CAN Data Link.</t>
  </si>
  <si>
    <t>Amount of fuel used by engine per unit time, as received from
another module on the CAN Data Link.</t>
  </si>
  <si>
    <t>Absolute air pressure of the atmosphere, as received from another
module on the CAN Data Link.</t>
  </si>
  <si>
    <t>The number of full calendar weeks until the next service inspection is required. This number is negative if a service inspection is overdue.</t>
  </si>
  <si>
    <t>Indicates current position of the Engine Control Switch.</t>
  </si>
  <si>
    <t>For the Fuel Transfer feature, indicates that the Transfer Fuel In command is active.</t>
  </si>
  <si>
    <t>Indicates if the EMCP is in idle mode regardless of source that triggers the forced idle.</t>
  </si>
  <si>
    <t>Indicate the time remaining during an operator inducement
override event.</t>
  </si>
  <si>
    <t>SCR urea tank level, as read from the CAN Data Link.</t>
  </si>
  <si>
    <t>SCR catalyst tank temperature, as read from the CAN Data Link.</t>
  </si>
  <si>
    <t>SCR urea injection air pressure, as read from the CAN Data Link.</t>
  </si>
  <si>
    <t>SCR catalyst intake temperature, as read from the CAN Data Link.</t>
  </si>
  <si>
    <t>SCR catalyst exhaust diff pressure (intake to exhaust), as read
from the CAN Data Link.</t>
  </si>
  <si>
    <t>Operating state of the SCR system, as read from the CAN Data
Link</t>
  </si>
  <si>
    <t>Percentage of soot built inside of the Diesel Particulate Filter</t>
  </si>
  <si>
    <t>Time since last aftertreatment inducement.</t>
  </si>
  <si>
    <t>Time remaining until next aftertreatment inducement.</t>
  </si>
  <si>
    <t>Indicates the functional mode of SCR operator inducement override</t>
  </si>
  <si>
    <t>Indicates the engine is (or has recently been) sufficiently lubricated for starting purposes.</t>
  </si>
  <si>
    <t>Indicates the engine ventailation status.</t>
  </si>
  <si>
    <t>Indication that the engine control system is immediately shutting the engine down</t>
  </si>
  <si>
    <t>Position percentage of the turbocharger compressor bypass actuator where 0% represents fully closed and 100% represents bypass fully open.</t>
  </si>
  <si>
    <t>Engine Pre-Lube Mode as received by the engine ECM</t>
  </si>
  <si>
    <t>Engine Hydraulic Pressure Governor Switch as received by the engine ECM</t>
  </si>
  <si>
    <t>Indicates the fluid bund level percentage</t>
  </si>
  <si>
    <t>Indicates the cellular packet data protocol context activation status of the cellular device data network as detected by the PLE
telematics device when connected</t>
  </si>
  <si>
    <t>Indicates the number of GPS Satellites as detected by the PLE
telematics device</t>
  </si>
  <si>
    <t>Indicates the strength of the signal being received by the cellular device as detected by the PLE telematics device when connected</t>
  </si>
  <si>
    <t>Indicates the status of a communications channel with the currently
selected satellite as detected by the PLE telematics device when connected</t>
  </si>
  <si>
    <t>Indicates the quality of the signal being received by the communications modem as detected by the PLE telematics device when connected</t>
  </si>
  <si>
    <t>Number of engine cylinders.</t>
  </si>
  <si>
    <t>Indicates the level of knock for engine cylinder #1, where 0% is
least level of knock and 100% is most severe level of knock.</t>
  </si>
  <si>
    <t>Indicates the level of knock for engine cylinder #2, where 0% is
least level of knock and 100% is most severe level of knock.</t>
  </si>
  <si>
    <t>Indicates the level of knock for engine cylinder #3, where 0% is
least level of knock and 100% is most severe level of knock.</t>
  </si>
  <si>
    <t>Indicates the level of knock for engine cylinder #4, where 0% is
least level of knock and 100% is most severe level of knock.</t>
  </si>
  <si>
    <t>Indicates the level of knock for engine cylinder #5, where 0% is
least level of knock and 100% is most severe level of knock.</t>
  </si>
  <si>
    <t>Indicates the level of knock for engine cylinder #6, where 0% is
least level of knock and 100% is most severe level of knock.</t>
  </si>
  <si>
    <t>Indicates the level of knock for engine cylinder #7, where 0% is
least level of knock and 100% is most severe level of knock.</t>
  </si>
  <si>
    <t>Indicates the level of knock for engine cylinder #8, where 0% is
least level of knock and 100% is most severe level of knock.</t>
  </si>
  <si>
    <t>Indicates the level of knock for engine cylinder #9, where 0% is
least level of knock and 100% is most severe level of knock.</t>
  </si>
  <si>
    <t>Indicates the level of knock for engine cylinder #10, where 0% is
least level of knock and 100% is most severe level of knock.</t>
  </si>
  <si>
    <t>Indicates the level of knock for engine cylinder #11, where 0% is
least level of knock and 100% is most severe level of knock.</t>
  </si>
  <si>
    <t>Indicates the level of knock for engine cylinder #12, where 0% is
least level of knock and 100% is most severe level of knock.</t>
  </si>
  <si>
    <t>Indicates the level of knock for engine cylinder #13, where 0% is
least level of knock and 100% is most severe level of knock.</t>
  </si>
  <si>
    <t>Indicates the level of knock for engine cylinder #14, where 0% is
least level of knock and 100% is most severe level of knock.</t>
  </si>
  <si>
    <t>Indicates the level of knock for engine cylinder #15, where 0% is
least level of knock and 100% is most severe level of knock.</t>
  </si>
  <si>
    <t>Indicates the level of knock for engine cylinder #16, where 0% is
least level of knock and 100% is most severe level of knock.</t>
  </si>
  <si>
    <t>Indicates the level of knock for engine cylinder #17, where 0% is
least level of knock and 100% is most severe level of knock.</t>
  </si>
  <si>
    <t>Indicates the level of knock for engine cylinder #18, where 0% is
least level of knock and 100% is most severe level of knock.</t>
  </si>
  <si>
    <t>Indicates the level of knock for engine cylinder #19, where 0% is
least level of knock and 100% is most severe level of knock.</t>
  </si>
  <si>
    <t>Indicates the level of knock for engine cylinder #20, where 0% is least level of knock and 100% is most severe level of knock.</t>
  </si>
  <si>
    <t>The ignition timing or main fuel injection timing of the cylinder #1.</t>
  </si>
  <si>
    <t>The ignition timing or main fuel injection timing of the cylinder #2.</t>
  </si>
  <si>
    <t>The ignition timing or main fuel injection timing of the cylinder #3.</t>
  </si>
  <si>
    <t>The ignition timing or main fuel injection timing of the cylinder #4.</t>
  </si>
  <si>
    <t>The ignition timing or main fuel injection timing of the cylinder #5.</t>
  </si>
  <si>
    <t>The ignition timing or main fuel injection timing of the cylinder #6.</t>
  </si>
  <si>
    <t>The ignition timing or main fuel injection timing of the cylinder #7.</t>
  </si>
  <si>
    <t>The ignition timing or main fuel injection timing of the cylinder #8.</t>
  </si>
  <si>
    <t>The ignition timing or main fuel injection timing of the cylinder #9.</t>
  </si>
  <si>
    <t>The ignition timing or main fuel injection timing of the cylinder #10.</t>
  </si>
  <si>
    <t>The ignition timing or main fuel injection timing of the cylinder #11.</t>
  </si>
  <si>
    <t>The ignition timing or main fuel injection timing of the cylinder #12.</t>
  </si>
  <si>
    <t>The ignition timing or main fuel injection timing of the cylinder #13.</t>
  </si>
  <si>
    <t>The ignition timing or main fuel injection timing of the cylinder #14.</t>
  </si>
  <si>
    <t>The ignition timing or main fuel injection timing of the cylinder #15.</t>
  </si>
  <si>
    <t>The ignition timing or main fuel injection timing of the cylinder #16.</t>
  </si>
  <si>
    <t>The ignition timing or main fuel injection timing of the cylinder #17.</t>
  </si>
  <si>
    <t>The ignition timing or main fuel injection timing of the cylinder #18.</t>
  </si>
  <si>
    <t>The ignition timing or main fuel injection timing of the cylinder #19.</t>
  </si>
  <si>
    <t>The ignition timing or main fuel injection timing of the cylinder #20.</t>
  </si>
  <si>
    <t>The differential pressure between the gaseous fuel and the air intake manifold.</t>
  </si>
  <si>
    <t>Mass flow rate of fresh air entering the engine air intake, before any EGR mixer, if used. Flow rate of fresh air conducted to the engine cylinders to support combustion.</t>
  </si>
  <si>
    <t>Used to read the relative level of engine detonation</t>
  </si>
  <si>
    <t>Indicates the relative intensity of the secondary output voltage of
ignition #14 transformer, as received from another module on the Data Link.</t>
  </si>
  <si>
    <t>Indicates the relative intensity of the secondary output voltage of ignition #16 transformer, as received from another module on the Data Link.</t>
  </si>
  <si>
    <t>Indicates the relative intensity of the secondary output voltage of ignition #18 transformer, as received from another module on the Data Link.</t>
  </si>
  <si>
    <t>Indicates the relative intensity of the secondary output voltage of
ignition #20 transformer, as received from another module on the Data Link.</t>
  </si>
  <si>
    <t>Engine derate request as received from the engine ECM</t>
  </si>
  <si>
    <t>Desired ignition timing value specific to engine application, as received from engine ECM on the Data Link.</t>
  </si>
  <si>
    <t>Measured specific heat ratio of the fuel, as received from another
module on the Data Link.</t>
  </si>
  <si>
    <t>Measured specific gravilty of the fuel, as received from another
module on the Data Link.</t>
  </si>
  <si>
    <t>Gas mass flow rate delivered to the engine (instance #1),  as received from another module on the Data Link.</t>
  </si>
  <si>
    <t>Gauge pressure of air measured downstream on the compressor discharge side of the turbocharger, as received from another module on the Data Link (See Register #249 for alternate source.)</t>
  </si>
  <si>
    <t>A correction to a predefined gaseous fuel energy content represented as a percentage, as received from another module on the Data Link. (Actual fuel energy used is the product of gasueous
fuel correction factor and the energy of the gas)</t>
  </si>
  <si>
    <t>Absolute air pressure of the intake manifold (instance #1), as
receieved from another module on the Data Link.</t>
  </si>
  <si>
    <t>Gage pressure of the engine oil before the oil reaches the oil filter,
as received from another module on the Data Link.</t>
  </si>
  <si>
    <t>Actual ignition timing at the current engine conditions, as received
from another module on the Data Link.</t>
  </si>
  <si>
    <t>Position of a gaseous fuel valve (instance #1) that is metering the fuel flow to the engine, as received from another module on the Data Link. 0% indicates no fuel flow through valve and 100%
indicates maximum fuel flow through valve.</t>
  </si>
  <si>
    <t>Requested position of a gaseous fuel valve (instance #1) that is metering the fuel flow to the engine, as received from another
module on the Data Link.</t>
  </si>
  <si>
    <t>Temperature of engine combustion byproducts entering the Three Way Catalyst in exhaust bank #1, as received from another module on the Data Link.</t>
  </si>
  <si>
    <t>Temperature of engine combustion byproducts leaving the Three Way Catalyst in exhaust bank #1, as received from another module
on the Data Link.</t>
  </si>
  <si>
    <t>Differential engine combustion byproducts gas temperature measured between the intake and outlet of the three way catalyst for exhaust bank #1, as received from another module on the Data Link.</t>
  </si>
  <si>
    <t>Indicates whether the engine is using the Exhaust Gas Oxygen sensor to control the air/fuel ratio,  as received from another
module on the Data Link.</t>
  </si>
  <si>
    <t>Read the desired position (as a percentage of full supply) of the Throttle valve (instance #1) that is regulating the fluid (usually air/fuel mixture) to the engine, as received from another module on the Data Link.</t>
  </si>
  <si>
    <t>Read the actual position (as a percentage of full supply) of the valve used to regulate the supply of a fluid (usually air or fuel/air mixture) to the engine, as received from another module on the Data Link.</t>
  </si>
  <si>
    <t>Fuel control setting for fuel shutoff (instance #1), as received from another module on the Data Link.</t>
  </si>
  <si>
    <t>Engine running status, as received from the engine ECM on the Data Link. True indicates the engine is running.</t>
  </si>
  <si>
    <t>Indicates the relative intensity of the secondary output voltage of ignition #1 transformer, as received from another module on the Data Link.</t>
  </si>
  <si>
    <t>Indicates the relative intensity of the secondary output voltage of
ignition #3 transformer, as received from another module on the Data Link.</t>
  </si>
  <si>
    <t>Indicates the relative intensity of the secondary output voltage of ignition #4 transformer, as received from another module on the Data Link.</t>
  </si>
  <si>
    <t>Indicates the relative intensity of the secondary output voltage of ignition #6 transformer, as received from another module on the Data Link.</t>
  </si>
  <si>
    <t>Indicates the relative intensity of the secondary output voltage of
ignition #7 transformer, as received from another module on the Data Link.</t>
  </si>
  <si>
    <t>Indicates the relative intensity of the secondary output voltage of ignition #8 transformer, as received from another module on the Data Link.</t>
  </si>
  <si>
    <t>Indicates the relative intensity of the secondary output voltage of ignition #10 transformer, as received from another module on the Data Link.</t>
  </si>
  <si>
    <t>Indicates the reason why an engine cannot start, as received from the engine ECM on the Data Link.</t>
  </si>
  <si>
    <t>Indicates the status of the switch input for activating the engine oil priming pump, as received from an another module on the Data Link.</t>
  </si>
  <si>
    <t>Percentage that represents the ratio of actual engine percent  torque to maximum indicated torque available at the current engine speed, as received from another module on the Data Link.</t>
  </si>
  <si>
    <t>Differential pressure between the intake and outlet of the engine throttle valve, as received from another module on the Data Link.</t>
  </si>
  <si>
    <t>Average temperature based upon the exhaust port temperature measurements at each of the engine cylinders, as received from another module on the Data Link.</t>
  </si>
  <si>
    <t>Average temperature based upon the exhaust port temperature measurements of each of the engine cylinders on the left bank prior to the turbocharger, as received from another module on the Data Link.</t>
  </si>
  <si>
    <t>Average temperature based upon the exhaust port temperature measurements of each of the engine cylinders on the right bank before the turbocharger, as received from another module on the Data Link.</t>
  </si>
  <si>
    <t>Absolute pressure of gas on the intake side of the first system control valve, as received from another module on the Data Link.</t>
  </si>
  <si>
    <t>Differential pressure between the intake and the outlet of a
gaseous fuel valve, as received from another module on the Data Link.</t>
  </si>
  <si>
    <t>Actual voltage from the Aftertreatment #1 Intake Oxygen sensor
mounted at the intake of the Aftertreatment #1 system,  as received from another module on the Data Link.</t>
  </si>
  <si>
    <t>Desired voltage for the Aftertreatment #1 Intake Oxygen sensor mounted at the intake of the Aftertreatment #1 system,  as received from another module on the Data Link.</t>
  </si>
  <si>
    <t>Actual voltage from the Aftertreatment #1 Outlet Oxygen sensor mounted at the outlet of the Aftertreatment #1 system,  as received from another module on the Data Link.</t>
  </si>
  <si>
    <t>Desired voltage for the Aftertreatment #1 Outlet Oxygen sensor mounted at the outlet of the Aftertreatment #1 system,  as received
from another module on the Data Link.</t>
  </si>
  <si>
    <t>Percentage adjustment made by the Aftertreatment #1 Intake Oxygen sensor to the fuel actuator control command, as received from another module on the Data Link.</t>
  </si>
  <si>
    <t>Percentage adjustment made by the Aftertreatment #1 Outlet Oxygen sensor to the fuel actuator control command, as received
from another module on the Data Link.</t>
  </si>
  <si>
    <t>Status of the oxygen sensor that reflects the output commanded by the ECM, as received from another module on the Data Link.</t>
  </si>
  <si>
    <t>Control command to throttle actuator (instance #1), normalized to percent, where 0% represents fully closed and 100% represents fully open, as received from another module on the Data Link.</t>
  </si>
  <si>
    <t>Command to a compressor bypass actuator, normalized to percent, where 0% nominally represents fully closed and 100% represents fully open, as received from another module on the Data Link.</t>
  </si>
  <si>
    <t>Engine Oil Temperature minus the Engine Coolant Temperature,
as received from another module on the Data Link.</t>
  </si>
  <si>
    <t>Energy content (lower heating value) of the gaseous fuel,  as received from another module on the Data Link.</t>
  </si>
  <si>
    <t>Actual level of NOx concentration in the engine exhaust as measured by the NOx Sensor, as received from another module on
the Data Link.</t>
  </si>
  <si>
    <t>Desired level of NOx concentration in the engine exhaust, as
received from another module on the Data Link.</t>
  </si>
  <si>
    <t>Desired pressure differential across the engine throttle valve, as received from another module on the Data Link.</t>
  </si>
  <si>
    <t>Status of the Engine Exhaust NOx Level Sensor, as received from another module on the Data Link.</t>
  </si>
  <si>
    <t>Actual air/fuel ratio, as received from another module on the Data Link.</t>
  </si>
  <si>
    <t>Absolute pressure measurement of the air intake manifold, as received from another module on the Data Link.</t>
  </si>
  <si>
    <t>Desired Air/Fuel Ratio</t>
  </si>
  <si>
    <t>Status of the gas substitution feature.</t>
  </si>
  <si>
    <t>Maximum gas substitution as a percentage of the maximum gas-to- diesel fuel substitution rate (0% = No substitution of gas - full diesel,100% = Maximum gas-to-diesel substitution requested).</t>
  </si>
  <si>
    <t>Actual power, as percentage of maximum power, provided by gas to substitute diesel power.</t>
  </si>
  <si>
    <t>Indicates the reason gas substitution mode is not at the requested level.</t>
  </si>
  <si>
    <t>Accumulated amount of liquid fuel that would have been used during engine operation, including actual diesel fuel used
and the diesel fuel that was displaced by gaseous fuel.</t>
  </si>
  <si>
    <t>Time remaining in cooldown until engine is stopped. This value is
only meaningful while the engine is in the Cooldown state.</t>
  </si>
  <si>
    <t>Shows the status of the Generator Circuit Breaker</t>
  </si>
  <si>
    <t>Indicates status of the start relay coil</t>
  </si>
  <si>
    <t>Indicates any present faults on this datalink.</t>
  </si>
  <si>
    <t>Pressure of liquid found in engine cooling system (instance #1) , as received from another module on the CAN Data Link. .</t>
  </si>
  <si>
    <t>Indicates whether the Engine is in low idle state.</t>
  </si>
  <si>
    <t>Indication of the desired engine operating speed as received from the engine ECM on the CAN Data Link.</t>
  </si>
  <si>
    <t>Engine Rating Map Number</t>
  </si>
  <si>
    <t>Engine Software Group Part Number</t>
  </si>
  <si>
    <t>Engine Personality Module Part Number</t>
  </si>
  <si>
    <t>Shows status of Output 1 as driven by this timer. Output 1 is used to command the Generator Circuit Breaker to close.</t>
  </si>
  <si>
    <t>Shows status of Output 2 as driven by this timer. Output 2 is used to command the Generator Circuit Breaker to close.</t>
  </si>
  <si>
    <t>Temperature of the air entering the compressor side of the turbocharger, as received from another module on the CAN Data Link.</t>
  </si>
  <si>
    <t>Temperature of the air entering the compressor side of the
turbocharger, as received from another module on the CAN Data Link.</t>
  </si>
  <si>
    <t>Temperature of the combustion by-products entering the turbine side of the turbocharger, as received from another module on the CAN Data Link.</t>
  </si>
  <si>
    <t>Temperature of the combustion by-products entering the turbine
side of the turbocharger, as received from another module on the CAN Data Link.</t>
  </si>
  <si>
    <t>Temperature of combustion byproducts leaving the engine, as
received from another module over the CAN data link.</t>
  </si>
  <si>
    <t>The amount of time from when the ignition of the fuel is initiated to when the fuel is completely ignited for Cylinder #1 (i.e., the flame
front has propagated across the cylinder).</t>
  </si>
  <si>
    <t>The amount of time from when the ignition of the fuel is initiated to when the fuel is completely ignited for Cylinder #2 (i.e., the flame front has propagated across the cylinder).</t>
  </si>
  <si>
    <t>The amount of time from when the ignition of the fuel is initiated to when the fuel is completely ignited for Cylinder #3 (i.e., the flame
front has propagated across the cylinder).</t>
  </si>
  <si>
    <t>The amount of time from when the ignition of the fuel is initiated to when the fuel is completely ignited for Cylinder #4 (i.e., the flame front has propagated across the cylinder).</t>
  </si>
  <si>
    <t>The amount of time from when the ignition of the fuel is initiated to when the fuel is completely ignited for Cylinder #5 (i.e., the flame
front has propagated across the cylinder).</t>
  </si>
  <si>
    <t>The amount of time from when the ignition of the fuel is initiated to
when the fuel is completely ignited for Cylinder #6 (i.e., the flame front has propagated across the cylinder).</t>
  </si>
  <si>
    <t>The amount of time from when the ignition of the fuel is initiated to when the fuel is completely ignited for Cylinder #7 (i.e., the flame
front has propagated across the cylinder).</t>
  </si>
  <si>
    <t>The amount of time from when the ignition of the fuel is initiated to when the fuel is completely ignited for Cylinder #8 (i.e., the flame
front has propagated across the cylinder).</t>
  </si>
  <si>
    <t>The amount of time from when the ignition of the fuel is initiated to
when the fuel is completely ignited for Cylinder #9 (i.e., the flame front has propagated across the cylinder).</t>
  </si>
  <si>
    <t>The amount of time from when the ignition of the fuel is initiated to when the fuel is completely ignited for Cylinder #10 (i.e., the flame front has propagated across the cylinder).</t>
  </si>
  <si>
    <t>The amount of time from when the ignition of the fuel is initiated to when the fuel is completely ignited for Cylinder #11 (i.e., the flame
front has propagated across the cylinder).</t>
  </si>
  <si>
    <t>The amount of time from when the ignition of the fuel is initiated to when the fuel is completely ignited for Cylinder #12 (i.e., the flame front has propagated across the cylinder).</t>
  </si>
  <si>
    <t>The amount of time from when the ignition of the fuel is initiated to when the fuel is completely ignited for Cylinder #13 (i.e., the flame
front has propagated across the cylinder).</t>
  </si>
  <si>
    <t>The amount of time from when the ignition of the fuel is initiated to when the fuel is completely ignited for Cylinder #14 (i.e., the flame
front has propagated across the cylinder).</t>
  </si>
  <si>
    <t>The amount of time from when the ignition of the fuel is initiated to when the fuel is completely ignited for Cylinder #15 (i.e., the flame
front has propagated across the cylinder).</t>
  </si>
  <si>
    <t>The amount of time from when the ignition of the fuel is initiated to
when the fuel is completely ignited for Cylinder #16 (i.e., the flame front has propagated across the cylinder).</t>
  </si>
  <si>
    <t>The amount of time from when the ignition of the fuel is initiated to when the fuel is completely ignited for Cylinder #17 (i.e., the flame front has propagated across the cylinder).</t>
  </si>
  <si>
    <t>The amount of time from when the ignition of the fuel is initiated to when the fuel is completely ignited for Cylinder #18 (i.e., the flame front has propagated across the cylinder).</t>
  </si>
  <si>
    <t>The amount of time from when the ignition of the fuel is initiated to when the fuel is completely ignited for Cylinder #19 (i.e., the flame front has propagated across the cylinder).</t>
  </si>
  <si>
    <t>The amount of time from when the ignition of the fuel is initiated to when the fuel is completely ignited for Cylinder #20 (i.e., the flame front has propagated across the cylinder).</t>
  </si>
  <si>
    <t>Temperature of air entering vehicle air induction system</t>
  </si>
  <si>
    <t>Second temperature of liquid found in the engine cooling system</t>
  </si>
  <si>
    <t>Third temperature of liquid found in the engine cooling system</t>
  </si>
  <si>
    <t>Gage pressure of the air entering the compressor side of the turbocharger  from Data Link</t>
  </si>
  <si>
    <t>Gage pressure of the air entering the compressor side of the turbocharger from Data Link</t>
  </si>
  <si>
    <t>The actual oxidation factor (%O2) of the gas within the exhaust stream. - from Data Link</t>
  </si>
  <si>
    <t>The actual oxidation factor (%O2) of the gas within the exhaust stream - from Data Link</t>
  </si>
  <si>
    <t>Used to read the current feedback method/mode for emissions control.</t>
  </si>
  <si>
    <t>Average AC frequency percent measured at the generator output.</t>
  </si>
  <si>
    <t>Gauge pressure of oil in engine lubrication system as provided by oil pump.</t>
  </si>
  <si>
    <t>Change in engine air system pressure, measured across the filter, due to the filter and any accumulation of solid foreign matter on or in the filter, as received from another module on the CAN Data Link.</t>
  </si>
  <si>
    <t>Utility Average Line-Line AC RMS Voltage Percent</t>
  </si>
  <si>
    <t>Fuel level, as received from another module on the CAN Data Link. For legacy support only. For new applications, use register 198.</t>
  </si>
  <si>
    <t>Raw sensor value read from the input (VDC, mA, ohms, or %)</t>
  </si>
  <si>
    <t>Data value as read from the input, in engineering units.</t>
  </si>
  <si>
    <t>Value to be output via analog output, in engineering units.</t>
  </si>
  <si>
    <t>Value to be output via PWM output, in engineering units.</t>
  </si>
  <si>
    <t>Indicates the output percentage for PWM Output #1</t>
  </si>
  <si>
    <t>Indicates the output percentage for PWM Output #3</t>
  </si>
  <si>
    <t>Indicates the output percentage for PWM Output #2</t>
  </si>
  <si>
    <t>Time remaining in manual fuel priming, in seconds.</t>
  </si>
  <si>
    <t>Average Line to Line RMS voltage measured at the utility</t>
  </si>
  <si>
    <t>Average AC frequency measured at the Utility.</t>
  </si>
  <si>
    <t>Average Line to Line RMS voltage percent measured at the utility</t>
  </si>
  <si>
    <t>Emergency Inducement Override Screen Enable</t>
  </si>
  <si>
    <t>Indicates the physical value for Analog output #1 when configured for Type Current</t>
  </si>
  <si>
    <t>Indicates the physical value for Analog output #2 when configured for Type Current</t>
  </si>
  <si>
    <t>-8,224,768 to
8,224,767.99609375</t>
  </si>
  <si>
    <t>-8,224,768 to
8,224,767.99609376</t>
  </si>
  <si>
    <t>-8,224,768 to
8,224,767.99609377</t>
  </si>
  <si>
    <t>Bit 16 = Event 16 active Status
Bit 15 = Event 15 active Status
Bit 14 = Event 14 active Status
Bit 13 = Event 13 active Status
Bit 12 = Event 12 active Status
Bit 11 = Event 11 active Status
Bit 10 = Event 10 active Status
Bit 9 = Event 9 active Status
Bit 8 = Event 8 active Status
Bit 7 = Event 7 active Status
Bit 6 = Event 6 active Status
Bit 5 = Event 5 active Status
Bit 4 = Event 4 active Status
Bit 3 = Event 3 active Status
Bit 2 = Event 2 active Status
Bit 1 = Event 1 active Status</t>
  </si>
  <si>
    <t>0= not active
 1= active</t>
  </si>
  <si>
    <t>-8,224,768 to
8,224,767.99609378</t>
  </si>
  <si>
    <t>-8,224,768 to
8,224,767.99609379</t>
  </si>
  <si>
    <t>-8,224,768 to
8,224,767.99609380</t>
  </si>
  <si>
    <t>-8,224,768 to
8,224,767.99609381</t>
  </si>
  <si>
    <t>-8,224,768 to
8,224,767.99609382</t>
  </si>
  <si>
    <t>Indicates the physical value for Analog output #3 when configured for Type Current</t>
  </si>
  <si>
    <t>Indicates the physical value for Analog output #4 when configured for Type Current</t>
  </si>
  <si>
    <t>Indicates the physical value for Analog output #5 when configured for Type Current</t>
  </si>
  <si>
    <t>Indicates the physical value for Analog output #6 when configured for Type Current</t>
  </si>
  <si>
    <t>Indicates the physical value for Analog output #7 when configured for Type Current</t>
  </si>
  <si>
    <t>Indicates the physical value for Analog output #8 when configured for Type Current</t>
  </si>
  <si>
    <t xml:space="preserve">
0x00 to 0x7F for each byte (char)</t>
  </si>
  <si>
    <t>Byte 5 = J1939 Time 14 (Year)
Byte 4 = J1939 Time 11 (Quarter Day)
Byte 3 = J1939 Time 13 (Month)
Byte 2 = J1939 Time 7 (Hour)
Byte 1 = J1939 Time 6 (Minute)
Byte 0 = J1939 Time 3 ( Quarter Second)</t>
  </si>
  <si>
    <t>00 = OPEN LOOP
01 = CLOSED LOOP
10 = RESERVED
11 = DON'T CARE / TAKE NO ACTION</t>
  </si>
  <si>
    <t xml:space="preserve">			$000E = Active
			$000F = Inactive
			$04C8 = Missing or Unknown APN</t>
  </si>
  <si>
    <t>0 to 250%</t>
  </si>
  <si>
    <t xml:space="preserve">			$022C = Established
			$022D = Not Established</t>
  </si>
  <si>
    <t>J1939 Time 10</t>
  </si>
  <si>
    <t>00 = FALSE
01 = TRUE
10 = ERROR
11 = DISABLED OR NOT AVAILABLE</t>
  </si>
  <si>
    <t>000 = OPEN
001 = CLOSED
010 = LOCKED OUT
011 = NOT AVAILABLE
100 = NOT INSTALLED</t>
  </si>
  <si>
    <t>0.1 C/bit</t>
  </si>
  <si>
    <t>-200 to 850 C</t>
  </si>
  <si>
    <t>Hydraulic Pressure measured at the output of Hydraulic pump</t>
  </si>
  <si>
    <t>Indicates the percent of torque limited fuel relative to the engine standard torque fuel.</t>
  </si>
  <si>
    <t>Total amount of DEF used by aftertreatment device 1 over the lifetime of the device.</t>
  </si>
  <si>
    <t>Indicates the ratio of the mass of hydrocarbon present in the aftertreatment system compared to the maximum allowable mass of hydrocarbon for the aftertreatment system</t>
  </si>
  <si>
    <t>Indicates the status of whether the gas substitution feature is active.</t>
  </si>
  <si>
    <t>Indicates the amount of diesel fuel that would be consumed by an engine per unit of time if it were not substituting gaseous fuel.</t>
  </si>
  <si>
    <t>Indicates the fuel used. This is a resettable total, and not a lifetime total</t>
  </si>
  <si>
    <t>Indicates the total equivalent quantity of diesel fuel that would have been consumed by the engine if gaseous fuel had not been substituted for a portion of the diesel fuel</t>
  </si>
  <si>
    <t>Used to read the flow of air through the intake manifold.</t>
  </si>
  <si>
    <t>Used to read the desired intake manifold air pressure.</t>
  </si>
  <si>
    <t>Used to read the choke position command. This is the choke position being requested by the ECM to the actuator</t>
  </si>
  <si>
    <t>Used to read an engine load percentage at the current engine speed.</t>
  </si>
  <si>
    <t>Exhaust differential pressure measured between the intake and exhaust of a Three Way Catalyst in exhaust bank 1.</t>
  </si>
  <si>
    <t>Switch signal which requests that all engine fueling stop.</t>
  </si>
  <si>
    <t>Indicates the current relative humidity compared to available relative humidity before engine power derate occurs.</t>
  </si>
  <si>
    <t>This is the first torque derate that will be applied to the engine operation due to operator inducement</t>
  </si>
  <si>
    <t>This parameter provides the time until Operator Inducement Torque Derate Level 1 is activated.</t>
  </si>
  <si>
    <t>This is the second torque derate that will be applied to the engine operation due to operator inducement.</t>
  </si>
  <si>
    <t>This parameter provides the time until Operator Inducement Torque Derate Level 2 is activated.</t>
  </si>
  <si>
    <t>Indicates the time until the inducement strategy enforces the final level of engine emissions operator inducement. The final level of inducement can include derating the engine, shutting down the engine, or restricting the engine to low idle.</t>
  </si>
  <si>
    <t>Temperature of the air or air/fuel mixture exiting the turbocharger 1 compressor outlet</t>
  </si>
  <si>
    <t>Used to read the peak level of knock for the overall engine (highest knock detected out of all of the cylinders monitored). The level of knock is reported where 0% is least level of knock, and increasing levels indicate more knock</t>
  </si>
  <si>
    <t>The ignition timing or main fuel injection timing of the cylinder #21.</t>
  </si>
  <si>
    <t>The amount of time from when the ignition of the fuel is initiated to when the fuel is completely ignited for Cylinder #21 (i.e., the flame front has propagated across the cylinder).</t>
  </si>
  <si>
    <t>The amount of time from when the ignition of the fuel is initiated to when the fuel is completely ignited for Cylinder #22 (i.e., the flame front has propagated across the cylinder).</t>
  </si>
  <si>
    <t>The amount of time from when the ignition of the fuel is initiated to when the fuel is completely ignited for Cylinder #23 (i.e., the flame front has propagated across the cylinder).</t>
  </si>
  <si>
    <t>The amount of time from when the ignition of the fuel is initiated to when the fuel is completely ignited for Cylinder #24 (i.e., the flame front has propagated across the cylinder).</t>
  </si>
  <si>
    <t>Indicates the level of knock for engine cylinder #21, where 0% is
least level of knock and 100% is most severe level of knock.</t>
  </si>
  <si>
    <t>Indicates the level of knock for engine cylinder #22, where 0% is
least level of knock and 100% is most severe level of knock.</t>
  </si>
  <si>
    <t>Indicates the level of knock for engine cylinder #23, where 0% is
least level of knock and 100% is most severe level of knock.</t>
  </si>
  <si>
    <t>Indicates the relative intensity of the secondary output voltage of ignition #21 transformer, as received from another module on the Data Link.</t>
  </si>
  <si>
    <t>Indicates the relative intensity of the secondary output voltage of ignition #22 transformer, as received from another module on the Data Link.</t>
  </si>
  <si>
    <t>Indicates the relative intensity of the secondary output voltage of ignition #23 transformer, as received from another module on the Data Link.</t>
  </si>
  <si>
    <t>Indicates the relative intensity of the secondary output voltage of ignition #24 transformer, as received from another module on the Data Link.</t>
  </si>
  <si>
    <t>The ignition timing or main fuel injection timing of the cylinder #22.</t>
  </si>
  <si>
    <t>The ignition timing or main fuel injection timing of the cylinder #23.</t>
  </si>
  <si>
    <t>The ignition timing or main fuel injection timing of the cylinder #24.</t>
  </si>
  <si>
    <t>Indicates the level of knock for engine cylinder #24, where 0% is
least level of knock and 100% is most severe level of knock.</t>
  </si>
  <si>
    <t>The average combustion time of all cylinders of an engine.</t>
  </si>
  <si>
    <t>Used to read the engine serial number</t>
  </si>
  <si>
    <t>Used to read the whether the feature that allows the operator to override the inducement strategies during emergencies</t>
  </si>
  <si>
    <t>Indicates if an operator inducement derate is allowed to be overridden.</t>
  </si>
  <si>
    <t>Number of Bytes transmitted on each Ethernet Port</t>
  </si>
  <si>
    <t>Number of Errors transmitted on each Ethernet Port</t>
  </si>
  <si>
    <t>Number of Bytes receive on each Ethernet Port</t>
  </si>
  <si>
    <t>Number of Errors receive on each Ethernet Port</t>
  </si>
  <si>
    <t>Number of received dropped packages</t>
  </si>
  <si>
    <t>Number of Late Collisions Detected</t>
  </si>
  <si>
    <t>Number of Excessive Collisions Detected</t>
  </si>
  <si>
    <t>Number of transmitted dropped packages</t>
  </si>
  <si>
    <t>"0 = Disabled
1 = Enabled"</t>
  </si>
  <si>
    <t>Enable status of 2-wire port #1</t>
  </si>
  <si>
    <t>Enable status of 2-wire port #2</t>
  </si>
  <si>
    <t>Enable status of 4-wire port #1</t>
  </si>
  <si>
    <t>Enable status of 4-wire port #2</t>
  </si>
  <si>
    <t>Enable status of 4-wire port #3</t>
  </si>
  <si>
    <t>Enable status of 4-wire port #4</t>
  </si>
  <si>
    <t>Power Factor Control Command Enable</t>
  </si>
  <si>
    <t>Device ID MID:
$164 - Single Genset Control
$168 - Genset Control
$169 - Genset Paralleling Control</t>
  </si>
  <si>
    <t>indicates ECS control unit type</t>
  </si>
  <si>
    <t>Indicates Power System Software Group Number</t>
  </si>
  <si>
    <t>Indicates Power System Software Version</t>
  </si>
  <si>
    <t>Indicates Power System Control Hardware Part Number</t>
  </si>
  <si>
    <t>Indicates Power System Control Serial Number</t>
  </si>
  <si>
    <t>Indicates Engine Equipment ID</t>
  </si>
  <si>
    <t>Fuel Pump Primer Status</t>
  </si>
  <si>
    <t>Status of various Digital I/O</t>
  </si>
  <si>
    <t>Status of the Remote Digital Input Status 1-16</t>
  </si>
  <si>
    <t>Bit 15 = Remote Digital inpu 16
Bit 14 = Remote Digital inpu 15
Bit 13 = Remote Digital inpu 14
Bit 12 = Remote Digital inpu 13
Bit 11 = Remote Digital inpu 12
Bit 10 = Remote Digital inpu 11
Bit 9 = Remote Digital inpu 10
Bit 8 = Remote Digital inpu 9
Bit 7 = Remote Digital inpu 8
Bit 6 = Remote Digital inpu 7
Bit 5 = Remote Digital inpu 6
Bit 4 = Remote Digital input 5
Bit 3 = Remote Digital input 4
Bit 2 = Remote Digital input 3
Bit 1 = Remote Digital input 2
Bit 0 = Remote Digital input 1</t>
  </si>
  <si>
    <t>Bit 15 = Remote Digital inpu 16
Bit 14 = Remote Digital inpu 15
Bit 13 = Remote Digital inpu 14
Bit 12 = Remote Digital inpu 13
Bit 11 = Remote Digital inpu 12
Bit 10 = Remote Digital inpu 11
Bit 9 = Remote Digital inpu 10
Bit 8 = Remote Digital inpu 9
Bit 7 = Remote Digital inpu 8
Bit 6 = Remote Digital inpu 7
Bit 5 = Remote Digital inpu 6
Bit 4 = Remote Digital input 5
Bit 3 = Remote Digital input 4
Bit 2 = Remote Digital input 3
Bit 1 = Remote Digital input 2
Bit 0 = Remote Digital input 2</t>
  </si>
  <si>
    <t>Bit 15 = Remote Digital inpu 16
Bit 14 = Remote Digital inpu 15
Bit 13 = Remote Digital inpu 14
Bit 12 = Remote Digital inpu 13
Bit 11 = Remote Digital inpu 12
Bit 10 = Remote Digital inpu 11
Bit 9 = Remote Digital inpu 10
Bit 8 = Remote Digital inpu 9
Bit 7 = Remote Digital inpu 8
Bit 6 = Remote Digital inpu 7
Bit 5 = Remote Digital inpu 6
Bit 4 = Remote Digital input 5
Bit 3 = Remote Digital input 4
Bit 2 = Remote Digital input 3
Bit 1 = Remote Digital input 2
Bit 0 = Remote Digital input 3</t>
  </si>
  <si>
    <t>Bit 15 = Remote Digital inpu 16
Bit 14 = Remote Digital inpu 15
Bit 13 = Remote Digital inpu 14
Bit 12 = Remote Digital inpu 13
Bit 11 = Remote Digital inpu 12
Bit 10 = Remote Digital inpu 11
Bit 9 = Remote Digital inpu 10
Bit 8 = Remote Digital inpu 9
Bit 7 = Remote Digital inpu 8
Bit 6 = Remote Digital inpu 7
Bit 5 = Remote Digital inpu 6
Bit 4 = Remote Digital input 5
Bit 3 = Remote Digital input 4
Bit 2 = Remote Digital input 3
Bit 1 = Remote Digital input 2
Bit 0 = Remote Digital input 4</t>
  </si>
  <si>
    <t>Status of the Remote Digital Input Status 17-32</t>
  </si>
  <si>
    <t>Status of the Remote Digital Input Status 33-48</t>
  </si>
  <si>
    <t>Status of the Remote Digital Output Status 1-16</t>
  </si>
  <si>
    <t>Indicates the Validity of Each of thre Remote Digital Input 1 to 16</t>
  </si>
  <si>
    <t>Indicates the Validity of Each of thre Remote Digital Input 17 to 32</t>
  </si>
  <si>
    <t>Indicates the Validity of Each of thre Remote Digital Input 33 to 48</t>
  </si>
  <si>
    <t>Indicates the Validity of Each of thre Remote Digital Output 1 to 16</t>
  </si>
  <si>
    <t>Indicates the Validity of Each of thre Remote Digital Output 17 to 32</t>
  </si>
  <si>
    <t>Indicates the Validity of Each of thre Remote Digital Output 33 to 48</t>
  </si>
  <si>
    <t>Bit15 = RDI 16 valid status
.
.
Bit 0 = RDI 1 valid status</t>
  </si>
  <si>
    <t>Bit15 = RDI 32 valid status
.
.
Bit 0 = RDI 17 valid status</t>
  </si>
  <si>
    <t>Bit15 = RDI 48 valid status
.
.
Bit 0 = RDI 33 valid status</t>
  </si>
  <si>
    <t>Bit15 = RDO 16 valid status
.
.
Bit 0 = RDO 1 valid status</t>
  </si>
  <si>
    <t>Bit15 = RDO 32 valid status
.
.
Bit 0 = RDO 17 valid status</t>
  </si>
  <si>
    <t>Bit15 = RDO 48 valid status
.
.
Bit 0 = RDO 33 valid status</t>
  </si>
  <si>
    <t>Indicates the Validity of Each of thre Remote Anaolg input 1 to 8</t>
  </si>
  <si>
    <t>Indicates the Validity of Each of thre Remote RTD 1 to 4</t>
  </si>
  <si>
    <t>Gauge pressure of air measured downstream on the compressor discharge side of the turbocharger, as received from another module on the CAN Data Link.</t>
  </si>
  <si>
    <t>Temperature of the combustion by-products exiting the turbine side of the turbocharger, as received from another module on the CAN Data Link.</t>
  </si>
  <si>
    <t>Indicates the relative intensity of the secondary output voltage of ignition #2 transformer, as received from another module on the Data Link.</t>
  </si>
  <si>
    <t>Indicates the relative intensity of the secondary output voltage of ignition #5 transformer, as received from another module on the Data Link.</t>
  </si>
  <si>
    <t>Indicates the relative intensity of the secondary output voltage of ignition #9 transformer, as received from another module on the Data Link.</t>
  </si>
  <si>
    <t>Indicates the relative intensity of the secondary output voltage of ignition #11 transformer, as received from another module on the Data Link.</t>
  </si>
  <si>
    <t>Indicates the relative intensity of the secondary output voltage of ignition #12 transformer, as received from another module on the Data Link.</t>
  </si>
  <si>
    <t>Indicates the relative intensity of the secondary output voltage of ignition #13 transformer, as received from another module on the Data Link.</t>
  </si>
  <si>
    <t>Indicates the relative intensity of the secondary output voltage of ignition #15 transformer, as received from another module on the Data Link.</t>
  </si>
  <si>
    <t>Indicates the relative intensity of the secondary output voltage of ignition #17 transformer , as received from another module on the Data Link.</t>
  </si>
  <si>
    <t>Indicates the relative intensity of the secondary output voltage of ignition #19 transformer, as received from another module on the Data Link.</t>
  </si>
  <si>
    <r>
      <rPr>
        <b/>
        <sz val="16"/>
        <rFont val="Times New Roman"/>
        <family val="1"/>
      </rPr>
      <t>Average RMS current measured at the generator output.</t>
    </r>
  </si>
  <si>
    <r>
      <rPr>
        <b/>
        <sz val="16"/>
        <rFont val="Times New Roman"/>
        <family val="1"/>
      </rPr>
      <t>1 A / bit</t>
    </r>
  </si>
  <si>
    <r>
      <rPr>
        <b/>
        <sz val="16"/>
        <rFont val="Times New Roman"/>
        <family val="1"/>
      </rPr>
      <t>0 A</t>
    </r>
  </si>
  <si>
    <r>
      <rPr>
        <b/>
        <sz val="16"/>
        <rFont val="Times New Roman"/>
        <family val="1"/>
      </rPr>
      <t>0 to 64255 A</t>
    </r>
  </si>
  <si>
    <t>Diesel Exhaust Fluid Dosing Temperature, as read from the CAN Data Link.</t>
  </si>
  <si>
    <t>00 = Inactive
01 = Active
10 = Locked Inactive</t>
  </si>
  <si>
    <t>Time remaining in cooldown until engine is stopped. This value is only meaningful while the engine is in the Cooldown state.</t>
  </si>
  <si>
    <t>0 = INIT
1 = PRE CRANK
2 = STARTING
3 = RUNNING
4 = PRE COOLDOWN
5 = COOLDOWN
6 = STOPPING
7 = STOPPED
8 = IDLING</t>
  </si>
  <si>
    <t>The total reactive power delivered by the generator, as a percentage of generator rated reactive power.</t>
  </si>
  <si>
    <t>Bit 3 = Remote RTD 4 valid status
.
.
Bit 0 = Remote RTD 1 valid status</t>
  </si>
  <si>
    <t>Bit 7 = Analog Output 8 valid status
.
.
Bit 0 = Analog Output 1 valid status</t>
  </si>
  <si>
    <t>Bit 7 = Analog Input 8 valid status
.
.
Bit 0 = Analog Input 1 valid status</t>
  </si>
  <si>
    <t>Bit 15 = Event 16 active Status
Bit 14 = Event 15 active Status
Bit 13 = Event 14 active Status
Bit 12 = Event 13 active Status
Bit 11 = Event 12 active Status
Bit 10 = Event 11 active Status
Bit 9 = Event 10 active Status
Bit 8 = Event 9 active Status
Bit 7 = Event 8 active Status
Bit 6 = Event 7 active Status
Bit 5 = Event 6 active Status
Bit 4 = Event 5 active Status
Bit 3 = Event 4 active Status
Bit 2 = Event 3 active Status
Bit 1 = Event 2 active Status
Bit 0 = Event 1 active Status</t>
  </si>
  <si>
    <t>PORT NUMBER 502</t>
  </si>
  <si>
    <t>Current state of the Automatic Start/Stop sequence. Either read from engine (if Engine ECM controls start/stop) or determined by Genset controller</t>
  </si>
  <si>
    <t>The total kilovar-hours that have been imported by the generator.</t>
  </si>
  <si>
    <t>fuel level, independent of source. I/o pin (if configured) takes precedence over datalink.</t>
  </si>
  <si>
    <t>0 = INIT
1 = PRE CRANK
2 = STARTING
3 = RUNNING
4 = PRE COOLDOWN
5 = COOLDOWN
6 = STOPPING
7 = STOPPED
8 = IDLING
9 = WAITING TO START [only used when executing the Crank Arbitration feature]
10 = WARMING UP [only used when executing APCDL Genset Warm up feature conditions are met]</t>
  </si>
  <si>
    <t>Shows the Battery Voltage, as read at the input to the Genset Control.</t>
  </si>
  <si>
    <t>Current state of the Automatic Start/Stop sequence. Either read from engine (if Engine ECM controls start/stop) or determined by Genset Control.</t>
  </si>
  <si>
    <t>Shows the Battery Voltage, as read at the input to the Genset Control</t>
  </si>
  <si>
    <t>Primary(CAN A) CAN Data Link Bus Load Percentage</t>
  </si>
  <si>
    <t>Primary(CAN A) CAN Data Link Peak Bus Load Percentage</t>
  </si>
  <si>
    <t>Accessory (CAN B) CAN Data Link Bus Load Percentage</t>
  </si>
  <si>
    <t>Accessory (CAN B) CAN Data Link Peak Bus Load Percentage</t>
  </si>
  <si>
    <t>v1.0</t>
  </si>
  <si>
    <t>The number of full calendar days until the next service inspection is required. This number is negative if a service inspection is overdue.</t>
  </si>
  <si>
    <t>-321.27% to 321.28%</t>
  </si>
  <si>
    <t>Bus Average Line-Line AC RMS Voltage</t>
  </si>
  <si>
    <t>Bus Average AC RMS Frequency</t>
  </si>
  <si>
    <t>Generator/Bus Phase Difference</t>
  </si>
  <si>
    <t>Generator Total kVAr Hours</t>
  </si>
  <si>
    <t>Generator Total kVAr Hours (leading)</t>
  </si>
  <si>
    <t>Event Lamp Status</t>
  </si>
  <si>
    <t>Boolean</t>
  </si>
  <si>
    <t>Engine Control State</t>
  </si>
  <si>
    <t>AC RMS Voltage</t>
  </si>
  <si>
    <t>AC RMS Current</t>
  </si>
  <si>
    <t>AC Frequency</t>
  </si>
  <si>
    <t>AC Power Factor</t>
  </si>
  <si>
    <t>AC Power Factor Lagging</t>
  </si>
  <si>
    <t>AC Real Power</t>
  </si>
  <si>
    <t>AC Reactive Power</t>
  </si>
  <si>
    <t>AC Apparent Power</t>
  </si>
  <si>
    <t>J1939 Angle 1</t>
  </si>
  <si>
    <t>AC Kilowatt-hour</t>
  </si>
  <si>
    <t>AC Kilovar-hour</t>
  </si>
  <si>
    <t>Percent</t>
  </si>
  <si>
    <t>J1939 Electrical Potential</t>
  </si>
  <si>
    <t>J1939 Pressure 5</t>
  </si>
  <si>
    <t>J1939 Temperature 2</t>
  </si>
  <si>
    <t>J1939 Pressure 3</t>
  </si>
  <si>
    <t>J1939 Volume</t>
  </si>
  <si>
    <t>J1939 Rot Vel 1</t>
  </si>
  <si>
    <t>J1939 Pressure 8</t>
  </si>
  <si>
    <t>J1939 Flow Rate Liquid</t>
  </si>
  <si>
    <t>J1939 Temperature 1</t>
  </si>
  <si>
    <t>J1939 Percent 2</t>
  </si>
  <si>
    <t>J1939 Pressure 7</t>
  </si>
  <si>
    <t>J1939 Pressure 3 Actual</t>
  </si>
  <si>
    <t>J1939 Flow Rate Mass</t>
  </si>
  <si>
    <t>J1939 Pressure 1</t>
  </si>
  <si>
    <t>Count 32</t>
  </si>
  <si>
    <t>J1939 Time Hours 2 Byte</t>
  </si>
  <si>
    <t>J1939 Calendar Weeks</t>
  </si>
  <si>
    <t>J1939 Time 4</t>
  </si>
  <si>
    <t>Breaker Status</t>
  </si>
  <si>
    <t>SCADA ALARM GROUP EVENTS</t>
  </si>
  <si>
    <t>Fuel Level- final</t>
  </si>
  <si>
    <t>Engine Cylinder #1 Knock Level</t>
  </si>
  <si>
    <t>Engine Cylinder #2 Knock Level</t>
  </si>
  <si>
    <t>Engine Cylinder #3 Knock Level</t>
  </si>
  <si>
    <t>Engine Cylinder #4 Knock Level</t>
  </si>
  <si>
    <t>Engine Cylinder #5 Knock Level</t>
  </si>
  <si>
    <t>Engine Cylinder #6 Knock Level</t>
  </si>
  <si>
    <t>Engine Cylinder #7 Knock Level</t>
  </si>
  <si>
    <t>Engine Cylinder #8 Knock Level</t>
  </si>
  <si>
    <t>Engine Cylinder #9 Knock Level</t>
  </si>
  <si>
    <t>Engine Cylinder #10 Knock Level</t>
  </si>
  <si>
    <t>Engine Cylinder #11 Knock Level</t>
  </si>
  <si>
    <t>Engine Cylinder #12 Knock Level</t>
  </si>
  <si>
    <t>Engine Cylinder #13 Knock Level</t>
  </si>
  <si>
    <t>Engine Cylinder #14 Knock Level</t>
  </si>
  <si>
    <t>Engine Cylinder #15 Knock Level</t>
  </si>
  <si>
    <t>Engine Cylinder #16 Knock Level</t>
  </si>
  <si>
    <t>Engine Cylinder #17 Knock Level</t>
  </si>
  <si>
    <t>Engine Cylinder #18 Knock Level</t>
  </si>
  <si>
    <t>Engine Cylinder #19 Knock Level</t>
  </si>
  <si>
    <t>Engine Cylinder #20 Knock Level</t>
  </si>
  <si>
    <t>Primary CAN Data Link % Bus Load</t>
  </si>
  <si>
    <t>Primary CAN Data Link % Peak Bus Load</t>
  </si>
  <si>
    <t>Accessory CAN Data Link % Bus Load</t>
  </si>
  <si>
    <t>Accessory CAN Data Link % Peak Bus Load</t>
  </si>
  <si>
    <t>Ethernet 2-Wire Port A Status</t>
  </si>
  <si>
    <t>Ethernet 2-Wire Port B Status</t>
  </si>
  <si>
    <t>Fuel Unload Pump Active</t>
  </si>
  <si>
    <t>Power System Control Unit Type A6L3 Device Info</t>
  </si>
  <si>
    <t>Power System Control Unit Number A6L3 Device Info</t>
  </si>
  <si>
    <t>Programmable Cycle Timer 1 Output 3 Status</t>
  </si>
  <si>
    <t>Programmable Cycle Timer 2 Output 3 Status</t>
  </si>
  <si>
    <t>Programmable Cycle Timer 3 Output 3 Status</t>
  </si>
  <si>
    <t>Programmable Cycle Timer 4 Output 3 Status</t>
  </si>
  <si>
    <t>Programmable Cycle Timer 5 Output 3 Status</t>
  </si>
  <si>
    <t>Programmable Cycle Timer 6 Output 3 Status</t>
  </si>
  <si>
    <t>Programmable Cycle Timer 7 Output 3 Status</t>
  </si>
  <si>
    <t>Genset Control SCADA IP Address Read Octet 1 (Most Significant)</t>
  </si>
  <si>
    <t>Genset Control SCADA IP Address Read Octet 2</t>
  </si>
  <si>
    <t>Genset Control SCADA IP Address Read Octet 3</t>
  </si>
  <si>
    <t>Genset Control SCADA IP Address Read Octet 4 (Least Significant)</t>
  </si>
  <si>
    <t>Genset Control SCADA IP Mask Write Octet 1 (Most Significant)</t>
  </si>
  <si>
    <t>Genset Control SCADA IP Mask Write Octet 2</t>
  </si>
  <si>
    <t>Genset Control SCADA IP Mask Write Octet 3</t>
  </si>
  <si>
    <t>Genset Control SCADA IP Mask Write Octet 4 (Least Significant)</t>
  </si>
  <si>
    <t>Utility Average Line-Line AC RMS Voltage</t>
  </si>
  <si>
    <t>Utility Average AC RMS Frequency</t>
  </si>
  <si>
    <t>Utility Voltage Line-Line Phase A</t>
  </si>
  <si>
    <t>Utility Voltage Line-Line Phase B</t>
  </si>
  <si>
    <t>Utility Voltage Line-Line Phase C</t>
  </si>
  <si>
    <t>Utility Voltage Line - Neutral Phase A</t>
  </si>
  <si>
    <t>Utility Voltage Line - Neutral Phase B</t>
  </si>
  <si>
    <t>Utility Voltage Line - Neutral Phase C</t>
  </si>
  <si>
    <t>Utility AC Frequency Phase A</t>
  </si>
  <si>
    <t>Utility AC Frequency Phase B</t>
  </si>
  <si>
    <t xml:space="preserve">Utility AC Frequency Phase C </t>
  </si>
  <si>
    <t>Utility AC Status</t>
  </si>
  <si>
    <t>Count 16</t>
  </si>
  <si>
    <t>J1939 Time Days</t>
  </si>
  <si>
    <t>CDL Temperature 1</t>
  </si>
  <si>
    <t>J1939 Percent 1</t>
  </si>
  <si>
    <t>CDL Pressure 1</t>
  </si>
  <si>
    <t>J1939 Pressure 14</t>
  </si>
  <si>
    <t>J1939 Fuel Energy Content</t>
  </si>
  <si>
    <t>J1939 Percent 6</t>
  </si>
  <si>
    <t>J1939 Specific Gravity</t>
  </si>
  <si>
    <t>J1939 Specific Heat</t>
  </si>
  <si>
    <t>J1939 Time 8</t>
  </si>
  <si>
    <t>J1939 Time 9</t>
  </si>
  <si>
    <t>CDL Gallons</t>
  </si>
  <si>
    <t>J1939 Percent 8</t>
  </si>
  <si>
    <t>On Status</t>
  </si>
  <si>
    <t>Closed Loop Status</t>
  </si>
  <si>
    <t>Electrical Voltage, mV</t>
  </si>
  <si>
    <t>Percent 2</t>
  </si>
  <si>
    <t>CDL Air/Fuel Ratio 2</t>
  </si>
  <si>
    <t>CDL Air/Fuel Ratio</t>
  </si>
  <si>
    <t>CDL Flow Rate Volume</t>
  </si>
  <si>
    <t>CDL NOx Level 1</t>
  </si>
  <si>
    <t>CDL NOx Level Sensor Status</t>
  </si>
  <si>
    <t>Hydraulic Pressure Switch Status</t>
  </si>
  <si>
    <t>Engine Pre-Lube Mode Status</t>
  </si>
  <si>
    <t>J1939 Percent 3</t>
  </si>
  <si>
    <t>J1939 Time 2</t>
  </si>
  <si>
    <t>CDL Percent 1</t>
  </si>
  <si>
    <t>J1939 Percent 9</t>
  </si>
  <si>
    <t>Data Link Status</t>
  </si>
  <si>
    <t>Port Stats</t>
  </si>
  <si>
    <t>COUNT 16</t>
  </si>
  <si>
    <t>ASCII</t>
  </si>
  <si>
    <t>Fuel Priming Status</t>
  </si>
  <si>
    <t>J1939 Time 3</t>
  </si>
  <si>
    <t>Programmable Cycle Timer Output Status</t>
  </si>
  <si>
    <t>Analog Sensor Value</t>
  </si>
  <si>
    <t>Analog Data</t>
  </si>
  <si>
    <t>Cellular PDP Activation Status</t>
  </si>
  <si>
    <t>Communication Status</t>
  </si>
  <si>
    <t>Time/Date</t>
  </si>
  <si>
    <t>Emergency Override Active Status</t>
  </si>
  <si>
    <t>Horn Status by Alarms</t>
  </si>
  <si>
    <t>Remote RTD Temperature</t>
  </si>
  <si>
    <t>AC frequency</t>
  </si>
  <si>
    <t>0 = OFF
1 = ON</t>
  </si>
  <si>
    <t>Shows the status of the Utility Circuit Breaker</t>
  </si>
  <si>
    <t>1 Hz</t>
  </si>
  <si>
    <t>1 to 501.9922 Hz</t>
  </si>
  <si>
    <t xml:space="preserve">0 = OFF
1 = ON
2 = DISABLED
3 = COMPLETE
</t>
  </si>
  <si>
    <t>Cat® ECS 200 Genset SCADA Modbus Read Registers</t>
  </si>
  <si>
    <t>0x000</t>
  </si>
  <si>
    <t>0x001</t>
  </si>
  <si>
    <t>0x002</t>
  </si>
  <si>
    <t>0x003</t>
  </si>
  <si>
    <t>0x004</t>
  </si>
  <si>
    <t>0x005</t>
  </si>
  <si>
    <t>0x006</t>
  </si>
  <si>
    <t>0x007</t>
  </si>
  <si>
    <t>0x008</t>
  </si>
  <si>
    <t>0x009</t>
  </si>
  <si>
    <t>0x00A</t>
  </si>
  <si>
    <t>0x00B</t>
  </si>
  <si>
    <t>0x00D</t>
  </si>
  <si>
    <t>0x00F</t>
  </si>
  <si>
    <t>0x0011</t>
  </si>
  <si>
    <t>0x0012</t>
  </si>
  <si>
    <t>0x0013</t>
  </si>
  <si>
    <t>0x0014</t>
  </si>
  <si>
    <t>0x0015</t>
  </si>
  <si>
    <t>0x0016</t>
  </si>
  <si>
    <t>0x0017</t>
  </si>
  <si>
    <t>0x0018</t>
  </si>
  <si>
    <t>0x0019</t>
  </si>
  <si>
    <t>0x001A</t>
  </si>
  <si>
    <t>0x001B</t>
  </si>
  <si>
    <t>0x001C</t>
  </si>
  <si>
    <t>0x001D</t>
  </si>
  <si>
    <t>0x001F</t>
  </si>
  <si>
    <t>0x0021</t>
  </si>
  <si>
    <t>0x0023</t>
  </si>
  <si>
    <t>0x0024</t>
  </si>
  <si>
    <t>0x0025</t>
  </si>
  <si>
    <t>0x0026</t>
  </si>
  <si>
    <t>0x0027</t>
  </si>
  <si>
    <t>0x0028</t>
  </si>
  <si>
    <t>0x0029</t>
  </si>
  <si>
    <t>0x002A</t>
  </si>
  <si>
    <t>0x002C</t>
  </si>
  <si>
    <t>0x002D</t>
  </si>
  <si>
    <t>0x002E</t>
  </si>
  <si>
    <t>0x0030</t>
  </si>
  <si>
    <t>0x0031</t>
  </si>
  <si>
    <t>0x0032</t>
  </si>
  <si>
    <t>0x0033</t>
  </si>
  <si>
    <t>0x0034</t>
  </si>
  <si>
    <t>0x0035</t>
  </si>
  <si>
    <t>0x0036</t>
  </si>
  <si>
    <t>0x0037</t>
  </si>
  <si>
    <t>0x0038</t>
  </si>
  <si>
    <t>0x0039</t>
  </si>
  <si>
    <t>0x003A</t>
  </si>
  <si>
    <t>0x003B</t>
  </si>
  <si>
    <t>0x003C</t>
  </si>
  <si>
    <t>0x003D</t>
  </si>
  <si>
    <t>0x003E</t>
  </si>
  <si>
    <t>0x003F</t>
  </si>
  <si>
    <t>0x0040</t>
  </si>
  <si>
    <t>0x0041</t>
  </si>
  <si>
    <t>0x0042</t>
  </si>
  <si>
    <t>0x0043</t>
  </si>
  <si>
    <t>0x0044</t>
  </si>
  <si>
    <t>0x0045</t>
  </si>
  <si>
    <t>0x0046</t>
  </si>
  <si>
    <t>0x0047</t>
  </si>
  <si>
    <t>0x0048</t>
  </si>
  <si>
    <t>0x0049</t>
  </si>
  <si>
    <t>0x004A</t>
  </si>
  <si>
    <t>0x004B</t>
  </si>
  <si>
    <t>0x004C</t>
  </si>
  <si>
    <t>0x004D</t>
  </si>
  <si>
    <t>0x004E</t>
  </si>
  <si>
    <t>0x004F</t>
  </si>
  <si>
    <t>0x0050</t>
  </si>
  <si>
    <t>0x0051</t>
  </si>
  <si>
    <t>0x0052</t>
  </si>
  <si>
    <t>0x0053</t>
  </si>
  <si>
    <t>0x0054</t>
  </si>
  <si>
    <t>0x0055</t>
  </si>
  <si>
    <t>0x0056</t>
  </si>
  <si>
    <t>0x0057</t>
  </si>
  <si>
    <t>0x0058</t>
  </si>
  <si>
    <t>0x005A</t>
  </si>
  <si>
    <t>0x005C</t>
  </si>
  <si>
    <t>0x005D</t>
  </si>
  <si>
    <t>0x005E</t>
  </si>
  <si>
    <t>0x005F</t>
  </si>
  <si>
    <t>0x0060</t>
  </si>
  <si>
    <t>0x0064</t>
  </si>
  <si>
    <t>0x0065</t>
  </si>
  <si>
    <t>0x0066</t>
  </si>
  <si>
    <t>0x0067</t>
  </si>
  <si>
    <t>0x0068</t>
  </si>
  <si>
    <t>0x0069</t>
  </si>
  <si>
    <t>0x006A</t>
  </si>
  <si>
    <t>0x006B</t>
  </si>
  <si>
    <t>0x006C</t>
  </si>
  <si>
    <t>0x006D</t>
  </si>
  <si>
    <t>0x0096</t>
  </si>
  <si>
    <t>0x0098</t>
  </si>
  <si>
    <t>0x0099</t>
  </si>
  <si>
    <t>0x009B</t>
  </si>
  <si>
    <t>0x009C</t>
  </si>
  <si>
    <t>0x009D</t>
  </si>
  <si>
    <t>0x009E</t>
  </si>
  <si>
    <t>0x009F</t>
  </si>
  <si>
    <t>0x00A0</t>
  </si>
  <si>
    <t>0x00A1</t>
  </si>
  <si>
    <t>0x00A2</t>
  </si>
  <si>
    <t>0x00A3</t>
  </si>
  <si>
    <t>0x00A4</t>
  </si>
  <si>
    <t>0x00A5</t>
  </si>
  <si>
    <t>0x00CD</t>
  </si>
  <si>
    <t>0x00CE</t>
  </si>
  <si>
    <t>0x00D0</t>
  </si>
  <si>
    <t>0x00D2</t>
  </si>
  <si>
    <t>0x00D3</t>
  </si>
  <si>
    <t>0x00D4</t>
  </si>
  <si>
    <t>0x00D5</t>
  </si>
  <si>
    <t>0x00D6</t>
  </si>
  <si>
    <t>0x00D7</t>
  </si>
  <si>
    <t>0x00D8</t>
  </si>
  <si>
    <t>0x00D9</t>
  </si>
  <si>
    <t>0x00DA</t>
  </si>
  <si>
    <t>0x00DB</t>
  </si>
  <si>
    <t>0x00DC</t>
  </si>
  <si>
    <t>0x00DD</t>
  </si>
  <si>
    <t>0x00DE</t>
  </si>
  <si>
    <t>0x00DF</t>
  </si>
  <si>
    <t>0x00E0</t>
  </si>
  <si>
    <t>0x00E1</t>
  </si>
  <si>
    <t>0x00E2</t>
  </si>
  <si>
    <t>0x00E3</t>
  </si>
  <si>
    <t>0x00E4</t>
  </si>
  <si>
    <t>0x00E5</t>
  </si>
  <si>
    <t>0x00E6</t>
  </si>
  <si>
    <t>0x00E7</t>
  </si>
  <si>
    <t>0x00E8</t>
  </si>
  <si>
    <t>0x00E9</t>
  </si>
  <si>
    <t>0x00EA</t>
  </si>
  <si>
    <t>0x00EB</t>
  </si>
  <si>
    <t>0x00EC</t>
  </si>
  <si>
    <t>0x00ED</t>
  </si>
  <si>
    <t>0x00EE</t>
  </si>
  <si>
    <t>0x00EF</t>
  </si>
  <si>
    <t>0x00F0</t>
  </si>
  <si>
    <t>0x00F1</t>
  </si>
  <si>
    <t>0x00F2</t>
  </si>
  <si>
    <t>0x00F3</t>
  </si>
  <si>
    <t>0x00F4</t>
  </si>
  <si>
    <t>0x00F5</t>
  </si>
  <si>
    <t>0x00F6</t>
  </si>
  <si>
    <t>0x00F7</t>
  </si>
  <si>
    <t>0x00F8</t>
  </si>
  <si>
    <t>0x00F9</t>
  </si>
  <si>
    <t>0x00FB</t>
  </si>
  <si>
    <t>0x00FC</t>
  </si>
  <si>
    <t>0x00FD</t>
  </si>
  <si>
    <t>0x00FE</t>
  </si>
  <si>
    <t>0x00FF</t>
  </si>
  <si>
    <t>0x00100</t>
  </si>
  <si>
    <t>0x00101</t>
  </si>
  <si>
    <t>0x00102</t>
  </si>
  <si>
    <t>0x00103</t>
  </si>
  <si>
    <t>0x00104</t>
  </si>
  <si>
    <t>0x00105</t>
  </si>
  <si>
    <t>0x00106</t>
  </si>
  <si>
    <t>0x00107</t>
  </si>
  <si>
    <t>0x00108</t>
  </si>
  <si>
    <t>0x00109</t>
  </si>
  <si>
    <t>0x0010A</t>
  </si>
  <si>
    <t>0x0010B</t>
  </si>
  <si>
    <t>0x0010C</t>
  </si>
  <si>
    <t>0x0010D</t>
  </si>
  <si>
    <t>0x0010E</t>
  </si>
  <si>
    <t>0x00110</t>
  </si>
  <si>
    <t>0x00111</t>
  </si>
  <si>
    <t>0x00112</t>
  </si>
  <si>
    <t>0x00113</t>
  </si>
  <si>
    <t>0x00114</t>
  </si>
  <si>
    <t>0x00115</t>
  </si>
  <si>
    <t>0x00116</t>
  </si>
  <si>
    <t>0x00117</t>
  </si>
  <si>
    <t>0x00118</t>
  </si>
  <si>
    <t>0x00119</t>
  </si>
  <si>
    <t>0x0011A</t>
  </si>
  <si>
    <t>0x0011C</t>
  </si>
  <si>
    <t>0x0011D</t>
  </si>
  <si>
    <t>0x0011F</t>
  </si>
  <si>
    <t>0x00121</t>
  </si>
  <si>
    <t>0x00122</t>
  </si>
  <si>
    <t>0x00123</t>
  </si>
  <si>
    <t>0x00124</t>
  </si>
  <si>
    <t>0x00125</t>
  </si>
  <si>
    <t>0x00126</t>
  </si>
  <si>
    <t>0x00127</t>
  </si>
  <si>
    <t>0x00128</t>
  </si>
  <si>
    <t>0x00129</t>
  </si>
  <si>
    <t>0x0012A</t>
  </si>
  <si>
    <t>0x0012B</t>
  </si>
  <si>
    <t>0x0012C</t>
  </si>
  <si>
    <t>0x0012D</t>
  </si>
  <si>
    <t>0x0012E</t>
  </si>
  <si>
    <t>0x0012F</t>
  </si>
  <si>
    <t>0x00130</t>
  </si>
  <si>
    <t>0x00131</t>
  </si>
  <si>
    <t>0x00132</t>
  </si>
  <si>
    <t>0x00133</t>
  </si>
  <si>
    <t>0x00134</t>
  </si>
  <si>
    <t>0x00135</t>
  </si>
  <si>
    <t>0x00136</t>
  </si>
  <si>
    <t>0x00137</t>
  </si>
  <si>
    <t>0x00138</t>
  </si>
  <si>
    <t>0x00139</t>
  </si>
  <si>
    <t>0x0013A</t>
  </si>
  <si>
    <t>0x0013B</t>
  </si>
  <si>
    <t>0x0013C</t>
  </si>
  <si>
    <t>0x0013D</t>
  </si>
  <si>
    <t>0x0013E</t>
  </si>
  <si>
    <t>0x0013F</t>
  </si>
  <si>
    <t>0x00140</t>
  </si>
  <si>
    <t>0x00141</t>
  </si>
  <si>
    <t>0x00142</t>
  </si>
  <si>
    <t>0x00143</t>
  </si>
  <si>
    <t>0x00144</t>
  </si>
  <si>
    <t>0x00145</t>
  </si>
  <si>
    <t>0x00146</t>
  </si>
  <si>
    <t>0x00147</t>
  </si>
  <si>
    <t>0x00148</t>
  </si>
  <si>
    <t>0x00149</t>
  </si>
  <si>
    <t>0x0014A</t>
  </si>
  <si>
    <t>0x0014B</t>
  </si>
  <si>
    <t>0x0014C</t>
  </si>
  <si>
    <t>0x0014D</t>
  </si>
  <si>
    <t>0x0014E</t>
  </si>
  <si>
    <t>0x0014F</t>
  </si>
  <si>
    <t>0x00150</t>
  </si>
  <si>
    <t>0x00151</t>
  </si>
  <si>
    <t>0x00152</t>
  </si>
  <si>
    <t>0x00153</t>
  </si>
  <si>
    <t>0x00154</t>
  </si>
  <si>
    <t>0x00155</t>
  </si>
  <si>
    <t>0x00156</t>
  </si>
  <si>
    <t>0x00157</t>
  </si>
  <si>
    <t>0x00158</t>
  </si>
  <si>
    <t>0x00159</t>
  </si>
  <si>
    <t>0x0015A</t>
  </si>
  <si>
    <t>0x0015B</t>
  </si>
  <si>
    <t>0x0015C</t>
  </si>
  <si>
    <t>0x0015D</t>
  </si>
  <si>
    <t>0x0015E</t>
  </si>
  <si>
    <t>0x0015F</t>
  </si>
  <si>
    <t>0x00160</t>
  </si>
  <si>
    <t>0x00161</t>
  </si>
  <si>
    <t>0x00162</t>
  </si>
  <si>
    <t>0x00163</t>
  </si>
  <si>
    <t>0x00164</t>
  </si>
  <si>
    <t>0x00165</t>
  </si>
  <si>
    <t>0x00166</t>
  </si>
  <si>
    <t>0x00167</t>
  </si>
  <si>
    <t>0x00168</t>
  </si>
  <si>
    <t>0x00169</t>
  </si>
  <si>
    <t>0x0016A</t>
  </si>
  <si>
    <t>0x0016B</t>
  </si>
  <si>
    <t>0x0016C</t>
  </si>
  <si>
    <t>0x0016D</t>
  </si>
  <si>
    <t>0x0016E</t>
  </si>
  <si>
    <t>0x0016F</t>
  </si>
  <si>
    <t>0x00170</t>
  </si>
  <si>
    <t>0x00171</t>
  </si>
  <si>
    <t>0x00172</t>
  </si>
  <si>
    <t>0x00173</t>
  </si>
  <si>
    <t>0x00174</t>
  </si>
  <si>
    <t>0x00175</t>
  </si>
  <si>
    <t>0x00176</t>
  </si>
  <si>
    <t>0x00177</t>
  </si>
  <si>
    <t>0x00178</t>
  </si>
  <si>
    <t>0x00179</t>
  </si>
  <si>
    <t>0x0017A</t>
  </si>
  <si>
    <t>0x0017B</t>
  </si>
  <si>
    <t>0x0017C</t>
  </si>
  <si>
    <t>0x0017D</t>
  </si>
  <si>
    <t>0x0017E</t>
  </si>
  <si>
    <t>0x0017F</t>
  </si>
  <si>
    <t>0x00180</t>
  </si>
  <si>
    <t>0x00181</t>
  </si>
  <si>
    <t>0x00182</t>
  </si>
  <si>
    <t>0x00183</t>
  </si>
  <si>
    <t>0x00184</t>
  </si>
  <si>
    <t>0x00185</t>
  </si>
  <si>
    <t>0x00186</t>
  </si>
  <si>
    <t>0x00187</t>
  </si>
  <si>
    <t>0x00188</t>
  </si>
  <si>
    <t>0x00189</t>
  </si>
  <si>
    <t>0x0018A</t>
  </si>
  <si>
    <t>0x0018B</t>
  </si>
  <si>
    <t>0x0018C</t>
  </si>
  <si>
    <t>0x0018D</t>
  </si>
  <si>
    <t>0x0018E</t>
  </si>
  <si>
    <t>0x0018F</t>
  </si>
  <si>
    <t>0x00190</t>
  </si>
  <si>
    <t>0x00191</t>
  </si>
  <si>
    <t>0x00192</t>
  </si>
  <si>
    <t>0x00193</t>
  </si>
  <si>
    <t>0x00194</t>
  </si>
  <si>
    <t>0x00195</t>
  </si>
  <si>
    <t>0x00196</t>
  </si>
  <si>
    <t>0x00197</t>
  </si>
  <si>
    <t>0x00198</t>
  </si>
  <si>
    <t>0x00199</t>
  </si>
  <si>
    <t>0x0019A</t>
  </si>
  <si>
    <t>0x0019B</t>
  </si>
  <si>
    <t>0x0019C</t>
  </si>
  <si>
    <t>0x0019D</t>
  </si>
  <si>
    <t>0x0019E</t>
  </si>
  <si>
    <t>0x0019F</t>
  </si>
  <si>
    <t>0x001A0</t>
  </si>
  <si>
    <t>0x001A1</t>
  </si>
  <si>
    <t>0x001A2</t>
  </si>
  <si>
    <t>0x001A3</t>
  </si>
  <si>
    <t>0x001A4</t>
  </si>
  <si>
    <t>0x001A5</t>
  </si>
  <si>
    <t>0x001A6</t>
  </si>
  <si>
    <t>0x001A7</t>
  </si>
  <si>
    <t>0x001A8</t>
  </si>
  <si>
    <t>0x001A9</t>
  </si>
  <si>
    <t>0x001AA</t>
  </si>
  <si>
    <t>0x001AB</t>
  </si>
  <si>
    <t>0x001AC</t>
  </si>
  <si>
    <t>0x001AD</t>
  </si>
  <si>
    <t>0x001AE</t>
  </si>
  <si>
    <t>0x001AF</t>
  </si>
  <si>
    <t>0x001B0</t>
  </si>
  <si>
    <t>0x001B1</t>
  </si>
  <si>
    <t>0x001B2</t>
  </si>
  <si>
    <t>0x001B3</t>
  </si>
  <si>
    <t>0x001B4</t>
  </si>
  <si>
    <t>0x001B5</t>
  </si>
  <si>
    <t>0x001B6</t>
  </si>
  <si>
    <t>0x001B7</t>
  </si>
  <si>
    <t>0x001B8</t>
  </si>
  <si>
    <t>0x001B9</t>
  </si>
  <si>
    <t>0x001BA</t>
  </si>
  <si>
    <t>0x001BB</t>
  </si>
  <si>
    <t>0x001BC</t>
  </si>
  <si>
    <t>0x001BD</t>
  </si>
  <si>
    <t>0x001BE</t>
  </si>
  <si>
    <t>0x001BF</t>
  </si>
  <si>
    <t>0x001C0</t>
  </si>
  <si>
    <t>0x001C1</t>
  </si>
  <si>
    <t>0x001C2</t>
  </si>
  <si>
    <t>0x001C3</t>
  </si>
  <si>
    <t>0x001C4</t>
  </si>
  <si>
    <t>0x001C5</t>
  </si>
  <si>
    <t>0x001C6</t>
  </si>
  <si>
    <t>0x001C7</t>
  </si>
  <si>
    <t>0x001C8</t>
  </si>
  <si>
    <t>0x001C9</t>
  </si>
  <si>
    <t>0x001CA</t>
  </si>
  <si>
    <t>0x001CB</t>
  </si>
  <si>
    <t>0x001CC</t>
  </si>
  <si>
    <t>0x001CD</t>
  </si>
  <si>
    <t>0x001CE</t>
  </si>
  <si>
    <t>0x001CF</t>
  </si>
  <si>
    <t>0x001D0</t>
  </si>
  <si>
    <t>0x001D1</t>
  </si>
  <si>
    <t>0x001D2</t>
  </si>
  <si>
    <t>0x001D3</t>
  </si>
  <si>
    <t>0x001D4</t>
  </si>
  <si>
    <t>0x001D5</t>
  </si>
  <si>
    <t>0x001D6</t>
  </si>
  <si>
    <t>0x001D7</t>
  </si>
  <si>
    <t>0x001D8</t>
  </si>
  <si>
    <t>0x001D9</t>
  </si>
  <si>
    <t>0x001DA</t>
  </si>
  <si>
    <t>0x001DB</t>
  </si>
  <si>
    <t>0x001DC</t>
  </si>
  <si>
    <t>0x001DD</t>
  </si>
  <si>
    <t>0x001DE</t>
  </si>
  <si>
    <t>0x001DF</t>
  </si>
  <si>
    <t>0x001E0</t>
  </si>
  <si>
    <t>0x001E1</t>
  </si>
  <si>
    <t>0x002BB</t>
  </si>
  <si>
    <t>0x002BC</t>
  </si>
  <si>
    <t>0x002BD</t>
  </si>
  <si>
    <t>0x002BE</t>
  </si>
  <si>
    <t>0x002BF</t>
  </si>
  <si>
    <t>0x002C0</t>
  </si>
  <si>
    <t>0x002C1</t>
  </si>
  <si>
    <t>0x002DD</t>
  </si>
  <si>
    <t>0x002F9</t>
  </si>
  <si>
    <t>0x00315</t>
  </si>
  <si>
    <t>0x00331</t>
  </si>
  <si>
    <t>0x0034D</t>
  </si>
  <si>
    <t>0x00369</t>
  </si>
  <si>
    <t>0x00385</t>
  </si>
  <si>
    <t>0x003A1</t>
  </si>
  <si>
    <t>0x003A2</t>
  </si>
  <si>
    <t>0x003A3</t>
  </si>
  <si>
    <t>0x003A4</t>
  </si>
  <si>
    <t>0x003A5</t>
  </si>
  <si>
    <t>0x003A6</t>
  </si>
  <si>
    <t>0x003A7</t>
  </si>
  <si>
    <t>0x003AA</t>
  </si>
  <si>
    <t>0x003AB</t>
  </si>
  <si>
    <t>0x003B5</t>
  </si>
  <si>
    <t>0x003B6</t>
  </si>
  <si>
    <t>0x003BB</t>
  </si>
  <si>
    <t>0x003C8</t>
  </si>
  <si>
    <t>0x003CD</t>
  </si>
  <si>
    <t>0x003D5</t>
  </si>
  <si>
    <t>0x003D6</t>
  </si>
  <si>
    <t>0x003DF</t>
  </si>
  <si>
    <t>0x003E3</t>
  </si>
  <si>
    <t>0x003FC</t>
  </si>
  <si>
    <t>0x00401</t>
  </si>
  <si>
    <t>0x00419</t>
  </si>
  <si>
    <t>0x0041A</t>
  </si>
  <si>
    <t>0x0041B</t>
  </si>
  <si>
    <t>0x0041C</t>
  </si>
  <si>
    <t>0x0041D</t>
  </si>
  <si>
    <t>0x0041E</t>
  </si>
  <si>
    <t>0x0041F</t>
  </si>
  <si>
    <t>0x00420</t>
  </si>
  <si>
    <t>0x00421</t>
  </si>
  <si>
    <t>0x00422</t>
  </si>
  <si>
    <t>0x00423</t>
  </si>
  <si>
    <t>0x00424</t>
  </si>
  <si>
    <t>0x00425</t>
  </si>
  <si>
    <t>0x00426</t>
  </si>
  <si>
    <t>0x00427</t>
  </si>
  <si>
    <t>0x00428</t>
  </si>
  <si>
    <t>0x00429</t>
  </si>
  <si>
    <t>0x0042A</t>
  </si>
  <si>
    <t>0x0042B</t>
  </si>
  <si>
    <t>0x0042C</t>
  </si>
  <si>
    <t>0x0042D</t>
  </si>
  <si>
    <t>0x0042E</t>
  </si>
  <si>
    <t>0x0042F</t>
  </si>
  <si>
    <t>0x00430</t>
  </si>
  <si>
    <t>0x00437</t>
  </si>
  <si>
    <t>0x00438</t>
  </si>
  <si>
    <t>0x00439</t>
  </si>
  <si>
    <t>0x0043A</t>
  </si>
  <si>
    <t>0x0043B</t>
  </si>
  <si>
    <t>0x0043C</t>
  </si>
  <si>
    <t>0x0043E</t>
  </si>
  <si>
    <t>0x00440</t>
  </si>
  <si>
    <t>0x00442</t>
  </si>
  <si>
    <t>0x00444</t>
  </si>
  <si>
    <t>0x00446</t>
  </si>
  <si>
    <t>0x00447</t>
  </si>
  <si>
    <t>0x00448</t>
  </si>
  <si>
    <t>0x0044A</t>
  </si>
  <si>
    <t>0x0044C</t>
  </si>
  <si>
    <t>0x0044E</t>
  </si>
  <si>
    <t>0x0044F</t>
  </si>
  <si>
    <t>0x00450</t>
  </si>
  <si>
    <t>0x004BF</t>
  </si>
  <si>
    <t>0x004C0</t>
  </si>
  <si>
    <t>0x004C1</t>
  </si>
  <si>
    <t>0x004C2</t>
  </si>
  <si>
    <t>0x004C3</t>
  </si>
  <si>
    <t>0x004C4</t>
  </si>
  <si>
    <t>0x004C8</t>
  </si>
  <si>
    <t>0x004D5</t>
  </si>
  <si>
    <t>0x004DA</t>
  </si>
  <si>
    <t>0x004DD</t>
  </si>
  <si>
    <t>0x004E0</t>
  </si>
  <si>
    <t>0x004E1</t>
  </si>
  <si>
    <t>0x004E2</t>
  </si>
  <si>
    <t>0x004E3</t>
  </si>
  <si>
    <t>0x004E4</t>
  </si>
  <si>
    <t>0x004E5</t>
  </si>
  <si>
    <t>0x004E6</t>
  </si>
  <si>
    <t>0x004E7</t>
  </si>
  <si>
    <t>0x004E8</t>
  </si>
  <si>
    <t>0x004E9</t>
  </si>
  <si>
    <t>0x004EA</t>
  </si>
  <si>
    <t>0x004EB</t>
  </si>
  <si>
    <t>0x004EC</t>
  </si>
  <si>
    <t>0x004ED</t>
  </si>
  <si>
    <t>0x004EE</t>
  </si>
  <si>
    <t>0x004EF</t>
  </si>
  <si>
    <t>0x004F0</t>
  </si>
  <si>
    <t>0x004F1</t>
  </si>
  <si>
    <t>0x004F2</t>
  </si>
  <si>
    <t>0x004F3</t>
  </si>
  <si>
    <t>0x004F4</t>
  </si>
  <si>
    <t>0x004F5</t>
  </si>
  <si>
    <t>0x004F6</t>
  </si>
  <si>
    <t>0x004F7</t>
  </si>
  <si>
    <t>0x004F8</t>
  </si>
  <si>
    <t>0x004FA</t>
  </si>
  <si>
    <t>0x004FC</t>
  </si>
  <si>
    <t>0x004FE</t>
  </si>
  <si>
    <t>0x00500</t>
  </si>
  <si>
    <t>0x00502</t>
  </si>
  <si>
    <t>0x00504</t>
  </si>
  <si>
    <t>0x00506</t>
  </si>
  <si>
    <t>0x00508</t>
  </si>
  <si>
    <t>0x0050A</t>
  </si>
  <si>
    <t>0x0050C</t>
  </si>
  <si>
    <t>0x0050E</t>
  </si>
  <si>
    <t>0x00510</t>
  </si>
  <si>
    <t>0x00512</t>
  </si>
  <si>
    <t>0x00514</t>
  </si>
  <si>
    <t>0x00516</t>
  </si>
  <si>
    <t>0x00518</t>
  </si>
  <si>
    <t>0x00519</t>
  </si>
  <si>
    <t>0x0051A</t>
  </si>
  <si>
    <t>0x0051B</t>
  </si>
  <si>
    <t>0x0051C</t>
  </si>
  <si>
    <t>0x0051D</t>
  </si>
  <si>
    <t>0x0051E</t>
  </si>
  <si>
    <t>0x0051F</t>
  </si>
  <si>
    <t>0x00520</t>
  </si>
  <si>
    <t>0x00521</t>
  </si>
  <si>
    <t>0x00522</t>
  </si>
  <si>
    <t>0x00523</t>
  </si>
  <si>
    <t>0x00528</t>
  </si>
  <si>
    <t>0x00529</t>
  </si>
  <si>
    <t>0x0052A</t>
  </si>
  <si>
    <t>0x0052B</t>
  </si>
  <si>
    <t>0x0052C</t>
  </si>
  <si>
    <t>0x0052D</t>
  </si>
  <si>
    <t>0x0052E</t>
  </si>
  <si>
    <t>0x0052F</t>
  </si>
  <si>
    <t>0x00530</t>
  </si>
  <si>
    <t>0x00531</t>
  </si>
  <si>
    <t>0x00532</t>
  </si>
  <si>
    <t>0x00533</t>
  </si>
  <si>
    <t>0x00534</t>
  </si>
  <si>
    <t>0x00535</t>
  </si>
  <si>
    <t>0x00536</t>
  </si>
  <si>
    <t>0x00537</t>
  </si>
  <si>
    <t>0x00538</t>
  </si>
  <si>
    <t>0x00539</t>
  </si>
  <si>
    <t>0x0053A</t>
  </si>
  <si>
    <t>0x0053B</t>
  </si>
  <si>
    <t>0x0053C</t>
  </si>
  <si>
    <t>Indicates Utility line to line volatge measured at Phase A</t>
  </si>
  <si>
    <t>Indicates Utility line to line volatge measured at Phase B</t>
  </si>
  <si>
    <t>Indicates Utility line to line volatge measured at Phase C</t>
  </si>
  <si>
    <t>Indicates Utility line to Neutral volatge measured at Phase A</t>
  </si>
  <si>
    <t>Indicates Utility line to Neutral volatge measured at Phase B</t>
  </si>
  <si>
    <t>Indicates Utility line to Neutral volatge measured at Phase C</t>
  </si>
  <si>
    <t>Indicates Utility AC frequency measured at the Phase A.</t>
  </si>
  <si>
    <t>Indicates Utility AC frequency measured at the Phase B</t>
  </si>
  <si>
    <t>Indicates Utility AC frequency measured at the Phase C</t>
  </si>
  <si>
    <t>bit 0=Not Installed
bit 1=Utility Live
bit 2=Utility Not Live</t>
  </si>
  <si>
    <t xml:space="preserve">Indicates Utility AC status </t>
  </si>
  <si>
    <t>Indicates BUS average AC RMS frequency</t>
  </si>
  <si>
    <t>bits 15:2 UNUSED
..
bits 1:0 Timer Status</t>
  </si>
  <si>
    <t>Indicates Power System Control Unit Number A6L3 Device Info</t>
  </si>
  <si>
    <t>Status of the Remote Digital Output Status 17-32</t>
  </si>
  <si>
    <t>Bit 15 = Remote Digital inpu 32
Bit 14 = Remote Digital inpu 31
Bit 13 = Remote Digital inpu 30
Bit 12 = Remote Digital inpu 29
Bit 11 = Remote Digital inpu 28
Bit 10 = Remote Digital inpu 27
Bit 9 = Remote Digital inpu 26
Bit 8 = Remote Digital inpu 25
Bit 7 = Remote Digital inpu 24
Bit 6 = Remote Digital inpu 23
Bit 5 = Remote Digital inpu 22
Bit 4 = Remote Digital input 21
Bit 3 = Remote Digital input 20
Bit 2 = Remote Digital input 19
Bit 1 = Remote Digital input 18
Bit 0 = Remote Digital input 17</t>
  </si>
  <si>
    <t>Bit 15 = Remote Digital inpu 48
Bit 14 = Remote Digital inpu 47
Bit 13 = Remote Digital inpu 46
Bit 12 = Remote Digital inpu 45
Bit 11 = Remote Digital inpu 44
Bit 10 = Remote Digital inpu 43
Bit 9 = Remote Digital inpu 42
Bit 8 = Remote Digital inpu 41
Bit 7 = Remote Digital inpu 40
Bit 6 = Remote Digital inpu 39
Bit 5 = Remote Digital inpu 38
Bit 4 = Remote Digital input 37
Bit 3 = Remote Digital input 36
Bit 2 = Remote Digital input 35
Bit 1 = Remote Digital input 34
Bit 0 = Remote Digital input 33</t>
  </si>
  <si>
    <t>"Bit 0: Digital Input #1
Bit 1: Digital Input  #2
.
.
.
Bit 15 : Digital Input  #16"</t>
  </si>
  <si>
    <t xml:space="preserve">"Bit 0:Digital Output #1
Bit 1: Digital Output  #2
.
.
Bit 11 : Digital Output  #12
Bit 12 : Isolated Digital Input #1"
Bits 13-15: not used
</t>
  </si>
  <si>
    <t>0x00546</t>
  </si>
  <si>
    <t xml:space="preserve">
Power System Control Unit Type (Standby) A6L3 Device Info</t>
  </si>
  <si>
    <t xml:space="preserve">Version </t>
  </si>
  <si>
    <t>Change History</t>
  </si>
  <si>
    <t>ECS_Gen_Prod_v2.0, 6620337</t>
  </si>
  <si>
    <t xml:space="preserve">Genset Minimum Software version required </t>
  </si>
  <si>
    <t>ECS_Gen_Prod_v3.0, 6345095</t>
  </si>
  <si>
    <t>Initial document</t>
  </si>
  <si>
    <t>v1.1</t>
  </si>
  <si>
    <t>Corrected DIO status2(701) Bit mapping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</si>
</sst>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1"/>
      <color theme="1"/>
      <name val="Calibri"/>
      <family val="2"/>
      <scheme val="minor"/>
    </font>
    <font>
      <sz val="11"/>
      <color theme="1"/>
      <name val="Calibri"/>
      <family val="2"/>
      <scheme val="minor"/>
    </font>
    <font>
      <b/>
      <sz val="11"/>
      <color theme="1"/>
      <name val="Calibri"/>
      <family val="2"/>
      <scheme val="minor"/>
    </font>
    <font>
      <sz val="10"/>
      <color rgb="FF000000"/>
      <name val="Times New Roman"/>
      <family val="1"/>
    </font>
    <font>
      <sz val="10"/>
      <color rgb="FF000000"/>
      <name val="Times New Roman"/>
      <family val="1"/>
    </font>
    <font>
      <b/>
      <sz val="12"/>
      <color theme="1"/>
      <name val="Calibri"/>
      <family val="2"/>
      <scheme val="minor"/>
    </font>
    <font>
      <sz val="8"/>
      <name val="Calibri"/>
      <family val="2"/>
      <scheme val="minor"/>
    </font>
    <font>
      <b/>
      <sz val="16"/>
      <color rgb="FF000000"/>
      <name val="Times New Roman"/>
      <family val="1"/>
    </font>
    <font>
      <b/>
      <sz val="16"/>
      <name val="Times New Roman"/>
      <family val="1"/>
    </font>
    <font>
      <b/>
      <sz val="16"/>
      <color theme="1"/>
      <name val="Times New Roman"/>
      <family val="1"/>
    </font>
    <font>
      <sz val="16"/>
      <color rgb="FF000000"/>
      <name val="Calibri"/>
      <family val="2"/>
      <scheme val="minor"/>
    </font>
    <font>
      <b/>
      <sz val="24"/>
      <color theme="1"/>
      <name val="Calibri"/>
      <family val="2"/>
      <scheme val="minor"/>
    </font>
    <font>
      <b/>
      <sz val="36"/>
      <color theme="1"/>
      <name val="Calibri"/>
      <family val="2"/>
      <scheme val="minor"/>
    </font>
    <font>
      <b/>
      <sz val="20"/>
      <color theme="1"/>
      <name val="Times New Roman"/>
      <family val="1"/>
    </font>
    <font>
      <b/>
      <sz val="20"/>
      <color rgb="FF000000"/>
      <name val="Times New Roman"/>
      <family val="1"/>
    </font>
    <font>
      <b/>
      <sz val="20"/>
      <name val="Times New Roman"/>
      <family val="1"/>
    </font>
    <font>
      <b/>
      <strike/>
      <sz val="20"/>
      <color theme="1"/>
      <name val="Times New Roman"/>
      <family val="1"/>
    </font>
    <font>
      <b/>
      <sz val="11"/>
      <color rgb="FF7030A0"/>
      <name val="Calibri"/>
      <family val="2"/>
      <scheme val="minor"/>
    </font>
    <font>
      <b/>
      <sz val="16"/>
      <color theme="1"/>
      <name val="Calibri"/>
      <family val="2"/>
      <scheme val="minor"/>
    </font>
  </fonts>
  <fills count="2">
    <fill>
      <patternFill patternType="none"/>
    </fill>
    <fill>
      <patternFill patternType="gray125"/>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5">
    <xf numFmtId="0" fontId="0" fillId="0" borderId="0"/>
    <xf numFmtId="0" fontId="1" fillId="0" borderId="0"/>
    <xf numFmtId="0" fontId="3" fillId="0" borderId="0"/>
    <xf numFmtId="0" fontId="1" fillId="0" borderId="0"/>
    <xf numFmtId="0" fontId="4" fillId="0" borderId="0"/>
  </cellStyleXfs>
  <cellXfs count="46">
    <xf numFmtId="0" fontId="0" fillId="0" borderId="0" xfId="0"/>
    <xf numFmtId="0" fontId="2" fillId="0" borderId="0" xfId="0" applyFont="1"/>
    <xf numFmtId="0" fontId="5" fillId="0" borderId="0" xfId="0" applyFont="1"/>
    <xf numFmtId="0" fontId="2" fillId="0" borderId="0" xfId="0" applyFont="1" applyAlignment="1">
      <alignment wrapText="1"/>
    </xf>
    <xf numFmtId="0" fontId="2" fillId="0" borderId="0" xfId="0" applyFont="1" applyAlignment="1">
      <alignment horizontal="center" vertical="center" wrapText="1"/>
    </xf>
    <xf numFmtId="0" fontId="7" fillId="0" borderId="1" xfId="1" applyFont="1" applyBorder="1" applyAlignment="1">
      <alignment horizontal="center" vertical="center" wrapText="1"/>
    </xf>
    <xf numFmtId="0" fontId="8" fillId="0" borderId="1" xfId="0" applyFont="1" applyBorder="1" applyAlignment="1">
      <alignment horizontal="center" vertical="center" wrapText="1"/>
    </xf>
    <xf numFmtId="0" fontId="8" fillId="0" borderId="1" xfId="2" applyFont="1" applyBorder="1" applyAlignment="1">
      <alignment horizontal="center" vertical="center" wrapText="1"/>
    </xf>
    <xf numFmtId="0" fontId="7" fillId="0" borderId="1" xfId="2" applyFont="1" applyBorder="1" applyAlignment="1">
      <alignment horizontal="center" vertical="center" wrapText="1"/>
    </xf>
    <xf numFmtId="0" fontId="7" fillId="0" borderId="1" xfId="4" applyFont="1" applyBorder="1" applyAlignment="1">
      <alignment horizontal="center" vertical="center" wrapText="1"/>
    </xf>
    <xf numFmtId="49" fontId="8" fillId="0" borderId="1" xfId="0" applyNumberFormat="1" applyFont="1" applyBorder="1" applyAlignment="1">
      <alignment horizontal="center" vertical="center" wrapText="1"/>
    </xf>
    <xf numFmtId="164" fontId="7" fillId="0" borderId="1" xfId="0" applyNumberFormat="1" applyFont="1" applyBorder="1" applyAlignment="1">
      <alignment horizontal="center" vertical="center" wrapText="1" shrinkToFit="1"/>
    </xf>
    <xf numFmtId="49" fontId="8" fillId="0" borderId="1" xfId="0" quotePrefix="1" applyNumberFormat="1" applyFont="1" applyBorder="1" applyAlignment="1">
      <alignment horizontal="center" vertical="center" wrapText="1"/>
    </xf>
    <xf numFmtId="0" fontId="8" fillId="0" borderId="1" xfId="0" applyFont="1" applyBorder="1" applyAlignment="1">
      <alignment horizontal="center" wrapText="1"/>
    </xf>
    <xf numFmtId="0" fontId="8" fillId="0" borderId="1" xfId="3" applyFont="1" applyBorder="1" applyAlignment="1">
      <alignment horizontal="center" vertical="center" wrapText="1"/>
    </xf>
    <xf numFmtId="0" fontId="7" fillId="0" borderId="1" xfId="3" applyFont="1" applyBorder="1" applyAlignment="1">
      <alignment horizontal="center" vertical="center" wrapText="1"/>
    </xf>
    <xf numFmtId="0" fontId="9" fillId="0" borderId="1" xfId="3" applyFont="1" applyBorder="1" applyAlignment="1">
      <alignment horizontal="center" vertical="center" wrapText="1"/>
    </xf>
    <xf numFmtId="0" fontId="8" fillId="0" borderId="1" xfId="1" applyFont="1" applyBorder="1" applyAlignment="1">
      <alignment horizontal="center" vertical="center" wrapText="1"/>
    </xf>
    <xf numFmtId="9" fontId="8" fillId="0" borderId="1" xfId="0" applyNumberFormat="1" applyFont="1" applyBorder="1" applyAlignment="1">
      <alignment horizontal="center" vertical="center" wrapText="1"/>
    </xf>
    <xf numFmtId="0" fontId="8" fillId="0" borderId="3" xfId="0" applyFont="1" applyBorder="1" applyAlignment="1">
      <alignment horizontal="center" vertical="center" wrapText="1"/>
    </xf>
    <xf numFmtId="0" fontId="7" fillId="0" borderId="3" xfId="3" applyFont="1" applyBorder="1" applyAlignment="1">
      <alignment horizontal="center" vertical="center" wrapText="1"/>
    </xf>
    <xf numFmtId="0" fontId="8" fillId="0" borderId="1" xfId="0" applyFont="1" applyBorder="1" applyAlignment="1">
      <alignment vertical="center" wrapText="1"/>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0" fillId="0" borderId="0" xfId="0" applyAlignment="1">
      <alignment wrapText="1"/>
    </xf>
    <xf numFmtId="49" fontId="0" fillId="0" borderId="0" xfId="0" applyNumberFormat="1"/>
    <xf numFmtId="0" fontId="13" fillId="0" borderId="0" xfId="0" applyFont="1" applyAlignment="1">
      <alignment wrapText="1"/>
    </xf>
    <xf numFmtId="0" fontId="14" fillId="0" borderId="1" xfId="1" applyFont="1" applyBorder="1" applyAlignment="1">
      <alignment horizontal="center" vertical="center" wrapText="1"/>
    </xf>
    <xf numFmtId="0" fontId="14" fillId="0" borderId="2" xfId="1" applyFont="1" applyBorder="1" applyAlignment="1">
      <alignment horizontal="center" vertical="center" wrapText="1"/>
    </xf>
    <xf numFmtId="0" fontId="13" fillId="0" borderId="1" xfId="3" applyFont="1" applyBorder="1" applyAlignment="1">
      <alignment horizontal="center" vertical="center" wrapText="1"/>
    </xf>
    <xf numFmtId="0" fontId="14" fillId="0" borderId="1" xfId="3" applyFont="1" applyBorder="1" applyAlignment="1">
      <alignment horizontal="center" vertical="center" wrapText="1"/>
    </xf>
    <xf numFmtId="0" fontId="15" fillId="0" borderId="1" xfId="0" applyFont="1" applyBorder="1" applyAlignment="1">
      <alignment horizontal="center" vertical="center" wrapText="1"/>
    </xf>
    <xf numFmtId="0" fontId="16" fillId="0" borderId="1" xfId="3" applyFont="1" applyBorder="1" applyAlignment="1">
      <alignment horizontal="center" vertical="center" wrapText="1"/>
    </xf>
    <xf numFmtId="0" fontId="17" fillId="0" borderId="0" xfId="0" applyFont="1"/>
    <xf numFmtId="49" fontId="18" fillId="0" borderId="0" xfId="0" applyNumberFormat="1" applyFont="1"/>
    <xf numFmtId="0" fontId="18" fillId="0" borderId="0" xfId="0" applyFont="1" applyAlignment="1">
      <alignment horizontal="center"/>
    </xf>
    <xf numFmtId="0" fontId="18" fillId="0" borderId="0" xfId="0" applyFont="1"/>
    <xf numFmtId="0" fontId="11" fillId="0" borderId="6" xfId="0" applyFont="1" applyBorder="1" applyAlignment="1">
      <alignment horizontal="center" vertical="center" wrapText="1"/>
    </xf>
    <xf numFmtId="0" fontId="11" fillId="0" borderId="7" xfId="0" applyFont="1" applyBorder="1" applyAlignment="1">
      <alignment horizontal="center" vertical="center" wrapText="1"/>
    </xf>
    <xf numFmtId="0" fontId="12" fillId="0" borderId="1" xfId="0" applyFont="1" applyBorder="1" applyAlignment="1">
      <alignment horizontal="center" wrapText="1"/>
    </xf>
    <xf numFmtId="0" fontId="2" fillId="0" borderId="4" xfId="0" applyFont="1" applyBorder="1" applyAlignment="1">
      <alignment horizontal="center" vertical="center" wrapText="1"/>
    </xf>
    <xf numFmtId="0" fontId="2" fillId="0" borderId="0" xfId="0" applyFont="1" applyAlignment="1">
      <alignment horizontal="center" vertical="center" wrapText="1"/>
    </xf>
    <xf numFmtId="0" fontId="2" fillId="0" borderId="5" xfId="0" applyFont="1" applyBorder="1" applyAlignment="1">
      <alignment horizontal="center" vertical="center" wrapText="1"/>
    </xf>
    <xf numFmtId="0" fontId="11" fillId="0" borderId="6" xfId="0" applyFont="1" applyBorder="1" applyAlignment="1">
      <alignment horizontal="center" wrapText="1"/>
    </xf>
    <xf numFmtId="0" fontId="11" fillId="0" borderId="8" xfId="0" applyFont="1" applyBorder="1" applyAlignment="1">
      <alignment horizontal="center" wrapText="1"/>
    </xf>
    <xf numFmtId="0" fontId="11" fillId="0" borderId="7" xfId="0" applyFont="1" applyBorder="1" applyAlignment="1">
      <alignment horizontal="center" wrapText="1"/>
    </xf>
  </cellXfs>
  <cellStyles count="5">
    <cellStyle name="Normal" xfId="0" builtinId="0"/>
    <cellStyle name="Normal 28 3" xfId="1" xr:uid="{2914E3D4-89EA-4136-B81E-D261F0D5D951}"/>
    <cellStyle name="Normal 29" xfId="3" xr:uid="{69CD2DDF-CD37-40CF-B056-C65547F7975B}"/>
    <cellStyle name="Normal 30" xfId="2" xr:uid="{9F5F9B7B-EDD5-4E9F-876C-B3DD762017A7}"/>
    <cellStyle name="Normal 31" xfId="4" xr:uid="{1B825E87-8013-479B-9842-6B868747936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0</xdr:col>
      <xdr:colOff>76200</xdr:colOff>
      <xdr:row>3</xdr:row>
      <xdr:rowOff>263675</xdr:rowOff>
    </xdr:from>
    <xdr:to>
      <xdr:col>0</xdr:col>
      <xdr:colOff>1905000</xdr:colOff>
      <xdr:row>3</xdr:row>
      <xdr:rowOff>1489363</xdr:rowOff>
    </xdr:to>
    <xdr:sp macro="" textlink="">
      <xdr:nvSpPr>
        <xdr:cNvPr id="2" name="Speech Bubble: Rectangle with Corners Rounded 1">
          <a:extLst>
            <a:ext uri="{FF2B5EF4-FFF2-40B4-BE49-F238E27FC236}">
              <a16:creationId xmlns:a16="http://schemas.microsoft.com/office/drawing/2014/main" id="{54726D96-5DD7-4189-B0AF-F1DF22F40E01}"/>
            </a:ext>
          </a:extLst>
        </xdr:cNvPr>
        <xdr:cNvSpPr/>
      </xdr:nvSpPr>
      <xdr:spPr>
        <a:xfrm>
          <a:off x="76200" y="2047448"/>
          <a:ext cx="1828800" cy="1225688"/>
        </a:xfrm>
        <a:prstGeom prst="wedgeRoundRectCallout">
          <a:avLst>
            <a:gd name="adj1" fmla="val 176186"/>
            <a:gd name="adj2" fmla="val -66993"/>
            <a:gd name="adj3" fmla="val 16667"/>
          </a:avLst>
        </a:prstGeom>
        <a:ln w="28575">
          <a:solidFill>
            <a:srgbClr val="FFC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r>
            <a:rPr lang="en-US" sz="1600" b="0" i="0" u="none" strike="noStrike" baseline="0">
              <a:solidFill>
                <a:schemeClr val="dk1"/>
              </a:solidFill>
              <a:latin typeface="+mn-lt"/>
              <a:ea typeface="+mn-ea"/>
              <a:cs typeface="+mn-cs"/>
            </a:rPr>
            <a:t>R= Read Only</a:t>
          </a:r>
        </a:p>
        <a:p>
          <a:r>
            <a:rPr lang="en-US" sz="1600" b="0" i="0" u="none" strike="noStrike" baseline="0">
              <a:solidFill>
                <a:schemeClr val="dk1"/>
              </a:solidFill>
              <a:latin typeface="+mn-lt"/>
              <a:ea typeface="+mn-ea"/>
              <a:cs typeface="+mn-cs"/>
            </a:rPr>
            <a:t>W= Write Only</a:t>
          </a:r>
        </a:p>
        <a:p>
          <a:r>
            <a:rPr lang="en-US" sz="1600" b="0" i="0" u="none" strike="noStrike" baseline="0">
              <a:solidFill>
                <a:schemeClr val="dk1"/>
              </a:solidFill>
              <a:latin typeface="+mn-lt"/>
              <a:ea typeface="+mn-ea"/>
              <a:cs typeface="+mn-cs"/>
            </a:rPr>
            <a:t>R/W = Read and Write</a:t>
          </a:r>
          <a:endParaRPr lang="en-US" sz="1600"/>
        </a:p>
      </xdr:txBody>
    </xdr:sp>
    <xdr:clientData/>
  </xdr:twoCellAnchor>
  <xdr:twoCellAnchor>
    <xdr:from>
      <xdr:col>0</xdr:col>
      <xdr:colOff>2472961</xdr:colOff>
      <xdr:row>3</xdr:row>
      <xdr:rowOff>300990</xdr:rowOff>
    </xdr:from>
    <xdr:to>
      <xdr:col>4</xdr:col>
      <xdr:colOff>0</xdr:colOff>
      <xdr:row>3</xdr:row>
      <xdr:rowOff>1447800</xdr:rowOff>
    </xdr:to>
    <xdr:sp macro="" textlink="">
      <xdr:nvSpPr>
        <xdr:cNvPr id="3" name="Speech Bubble: Rectangle with Corners Rounded 2">
          <a:extLst>
            <a:ext uri="{FF2B5EF4-FFF2-40B4-BE49-F238E27FC236}">
              <a16:creationId xmlns:a16="http://schemas.microsoft.com/office/drawing/2014/main" id="{57D64489-D0CB-4BF7-9532-2C6F35C9A525}"/>
            </a:ext>
          </a:extLst>
        </xdr:cNvPr>
        <xdr:cNvSpPr/>
      </xdr:nvSpPr>
      <xdr:spPr>
        <a:xfrm>
          <a:off x="2472961" y="1378676"/>
          <a:ext cx="2915468" cy="1146810"/>
        </a:xfrm>
        <a:prstGeom prst="wedgeRoundRectCallout">
          <a:avLst>
            <a:gd name="adj1" fmla="val 36452"/>
            <a:gd name="adj2" fmla="val -72209"/>
            <a:gd name="adj3" fmla="val 16667"/>
          </a:avLst>
        </a:prstGeom>
        <a:ln w="28575">
          <a:solidFill>
            <a:srgbClr val="FFC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r>
            <a:rPr lang="en-US" sz="1400" b="0" i="0" u="none" strike="noStrike" baseline="0">
              <a:solidFill>
                <a:schemeClr val="dk1"/>
              </a:solidFill>
              <a:latin typeface="+mn-lt"/>
              <a:ea typeface="+mn-ea"/>
              <a:cs typeface="+mn-cs"/>
            </a:rPr>
            <a:t>Column C = Address in Decimal (1-based, may need to add 40000)</a:t>
          </a:r>
        </a:p>
        <a:p>
          <a:r>
            <a:rPr lang="en-US" sz="1400" b="0" i="0" u="none" strike="noStrike" baseline="0">
              <a:solidFill>
                <a:schemeClr val="dk1"/>
              </a:solidFill>
              <a:latin typeface="+mn-lt"/>
              <a:ea typeface="+mn-ea"/>
              <a:cs typeface="+mn-cs"/>
            </a:rPr>
            <a:t>Column D = Address in Hexadecimal (0-based, as transmitted)</a:t>
          </a:r>
          <a:endParaRPr lang="en-US" sz="1400"/>
        </a:p>
      </xdr:txBody>
    </xdr:sp>
    <xdr:clientData/>
  </xdr:twoCellAnchor>
  <xdr:twoCellAnchor>
    <xdr:from>
      <xdr:col>4</xdr:col>
      <xdr:colOff>218257</xdr:colOff>
      <xdr:row>3</xdr:row>
      <xdr:rowOff>262888</xdr:rowOff>
    </xdr:from>
    <xdr:to>
      <xdr:col>5</xdr:col>
      <xdr:colOff>4267200</xdr:colOff>
      <xdr:row>3</xdr:row>
      <xdr:rowOff>1447799</xdr:rowOff>
    </xdr:to>
    <xdr:sp macro="" textlink="">
      <xdr:nvSpPr>
        <xdr:cNvPr id="4" name="Speech Bubble: Rectangle with Corners Rounded 3">
          <a:extLst>
            <a:ext uri="{FF2B5EF4-FFF2-40B4-BE49-F238E27FC236}">
              <a16:creationId xmlns:a16="http://schemas.microsoft.com/office/drawing/2014/main" id="{944E2134-A21A-402C-AC66-74D70EC1DDDD}"/>
            </a:ext>
          </a:extLst>
        </xdr:cNvPr>
        <xdr:cNvSpPr/>
      </xdr:nvSpPr>
      <xdr:spPr>
        <a:xfrm>
          <a:off x="6339657" y="1329688"/>
          <a:ext cx="4455343" cy="1184911"/>
        </a:xfrm>
        <a:prstGeom prst="wedgeRoundRectCallout">
          <a:avLst>
            <a:gd name="adj1" fmla="val -49043"/>
            <a:gd name="adj2" fmla="val -69863"/>
            <a:gd name="adj3" fmla="val 16667"/>
          </a:avLst>
        </a:prstGeom>
        <a:ln w="28575">
          <a:solidFill>
            <a:srgbClr val="FFC000"/>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1800" b="0" i="0" baseline="0">
              <a:solidFill>
                <a:schemeClr val="dk1"/>
              </a:solidFill>
              <a:effectLst/>
              <a:latin typeface="+mn-lt"/>
              <a:ea typeface="+mn-ea"/>
              <a:cs typeface="+mn-cs"/>
            </a:rPr>
            <a:t>Number of Registers this parameter</a:t>
          </a:r>
          <a:endParaRPr lang="en-US" sz="1800">
            <a:effectLst/>
          </a:endParaRPr>
        </a:p>
        <a:p>
          <a:pPr algn="ctr"/>
          <a:r>
            <a:rPr lang="en-US" sz="1800" b="0" i="0" baseline="0">
              <a:solidFill>
                <a:schemeClr val="dk1"/>
              </a:solidFill>
              <a:effectLst/>
              <a:latin typeface="+mn-lt"/>
              <a:ea typeface="+mn-ea"/>
              <a:cs typeface="+mn-cs"/>
            </a:rPr>
            <a:t>spans (if more than 1, the lowest</a:t>
          </a:r>
          <a:endParaRPr lang="en-US" sz="1800">
            <a:effectLst/>
          </a:endParaRPr>
        </a:p>
        <a:p>
          <a:pPr algn="ctr"/>
          <a:r>
            <a:rPr lang="en-US" sz="1800" b="0" i="0" baseline="0">
              <a:solidFill>
                <a:schemeClr val="dk1"/>
              </a:solidFill>
              <a:effectLst/>
              <a:latin typeface="+mn-lt"/>
              <a:ea typeface="+mn-ea"/>
              <a:cs typeface="+mn-cs"/>
            </a:rPr>
            <a:t>register is most significant)</a:t>
          </a:r>
          <a:endParaRPr lang="en-US" sz="1800">
            <a:effectLst/>
          </a:endParaRPr>
        </a:p>
        <a:p>
          <a:pPr algn="ctr"/>
          <a:endParaRPr lang="en-US" sz="900"/>
        </a:p>
      </xdr:txBody>
    </xdr:sp>
    <xdr:clientData/>
  </xdr:twoCellAnchor>
  <xdr:twoCellAnchor>
    <xdr:from>
      <xdr:col>5</xdr:col>
      <xdr:colOff>4751704</xdr:colOff>
      <xdr:row>3</xdr:row>
      <xdr:rowOff>266700</xdr:rowOff>
    </xdr:from>
    <xdr:to>
      <xdr:col>6</xdr:col>
      <xdr:colOff>423767</xdr:colOff>
      <xdr:row>3</xdr:row>
      <xdr:rowOff>605118</xdr:rowOff>
    </xdr:to>
    <xdr:sp macro="" textlink="">
      <xdr:nvSpPr>
        <xdr:cNvPr id="5" name="Speech Bubble: Rectangle with Corners Rounded 4">
          <a:extLst>
            <a:ext uri="{FF2B5EF4-FFF2-40B4-BE49-F238E27FC236}">
              <a16:creationId xmlns:a16="http://schemas.microsoft.com/office/drawing/2014/main" id="{82E5517A-A36E-4B85-83D5-2E4A5C6EA963}"/>
            </a:ext>
          </a:extLst>
        </xdr:cNvPr>
        <xdr:cNvSpPr/>
      </xdr:nvSpPr>
      <xdr:spPr>
        <a:xfrm>
          <a:off x="11279504" y="1333500"/>
          <a:ext cx="1501363" cy="338418"/>
        </a:xfrm>
        <a:prstGeom prst="wedgeRoundRectCallout">
          <a:avLst>
            <a:gd name="adj1" fmla="val 43804"/>
            <a:gd name="adj2" fmla="val -121731"/>
            <a:gd name="adj3" fmla="val 16667"/>
          </a:avLst>
        </a:prstGeom>
        <a:ln w="28575">
          <a:solidFill>
            <a:srgbClr val="FFC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650"/>
        </a:p>
      </xdr:txBody>
    </xdr:sp>
    <xdr:clientData/>
  </xdr:twoCellAnchor>
  <xdr:twoCellAnchor>
    <xdr:from>
      <xdr:col>5</xdr:col>
      <xdr:colOff>4533900</xdr:colOff>
      <xdr:row>3</xdr:row>
      <xdr:rowOff>262442</xdr:rowOff>
    </xdr:from>
    <xdr:to>
      <xdr:col>6</xdr:col>
      <xdr:colOff>3628390</xdr:colOff>
      <xdr:row>3</xdr:row>
      <xdr:rowOff>1435100</xdr:rowOff>
    </xdr:to>
    <xdr:sp macro="" textlink="">
      <xdr:nvSpPr>
        <xdr:cNvPr id="6" name="Speech Bubble: Rectangle with Corners Rounded 5">
          <a:extLst>
            <a:ext uri="{FF2B5EF4-FFF2-40B4-BE49-F238E27FC236}">
              <a16:creationId xmlns:a16="http://schemas.microsoft.com/office/drawing/2014/main" id="{87D86E62-9E82-4C19-ADA6-3FF1E561A23D}"/>
            </a:ext>
          </a:extLst>
        </xdr:cNvPr>
        <xdr:cNvSpPr/>
      </xdr:nvSpPr>
      <xdr:spPr>
        <a:xfrm>
          <a:off x="11061700" y="1329242"/>
          <a:ext cx="4923790" cy="1172658"/>
        </a:xfrm>
        <a:prstGeom prst="wedgeRoundRectCallout">
          <a:avLst>
            <a:gd name="adj1" fmla="val 90263"/>
            <a:gd name="adj2" fmla="val -70787"/>
            <a:gd name="adj3" fmla="val 16667"/>
          </a:avLst>
        </a:prstGeom>
        <a:ln w="28575">
          <a:solidFill>
            <a:srgbClr val="FFC000"/>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600" b="0" i="0" u="none" strike="noStrike" kern="0" cap="none" spc="0" normalizeH="0" baseline="0" noProof="0">
              <a:ln>
                <a:noFill/>
              </a:ln>
              <a:solidFill>
                <a:prstClr val="black"/>
              </a:solidFill>
              <a:effectLst/>
              <a:uLnTx/>
              <a:uFillTx/>
              <a:latin typeface="Arial" panose="020B0604020202020204" pitchFamily="34" charset="0"/>
              <a:ea typeface="+mn-ea"/>
              <a:cs typeface="+mn-cs"/>
            </a:rPr>
            <a:t>Value= Register Value * Scaling + Offset</a:t>
          </a:r>
          <a:endParaRPr kumimoji="0" lang="en-US" sz="1600" b="0" i="0" u="none" strike="noStrike" kern="0" cap="none" spc="0" normalizeH="0" baseline="0" noProof="0">
            <a:ln>
              <a:noFill/>
            </a:ln>
            <a:solidFill>
              <a:prstClr val="black"/>
            </a:solidFill>
            <a:effectLst/>
            <a:uLnTx/>
            <a:uFillTx/>
            <a:latin typeface="+mn-lt"/>
            <a:ea typeface="+mn-ea"/>
            <a:cs typeface="+mn-cs"/>
          </a:endParaRPr>
        </a:p>
        <a:p>
          <a:pPr algn="ctr"/>
          <a:endParaRPr lang="en-US" sz="900"/>
        </a:p>
      </xdr:txBody>
    </xdr:sp>
    <xdr:clientData/>
  </xdr:twoCellAnchor>
  <xdr:twoCellAnchor>
    <xdr:from>
      <xdr:col>6</xdr:col>
      <xdr:colOff>5150485</xdr:colOff>
      <xdr:row>3</xdr:row>
      <xdr:rowOff>288561</xdr:rowOff>
    </xdr:from>
    <xdr:to>
      <xdr:col>8</xdr:col>
      <xdr:colOff>2200910</xdr:colOff>
      <xdr:row>3</xdr:row>
      <xdr:rowOff>1438637</xdr:rowOff>
    </xdr:to>
    <xdr:sp macro="" textlink="">
      <xdr:nvSpPr>
        <xdr:cNvPr id="7" name="Speech Bubble: Rectangle with Corners Rounded 6">
          <a:extLst>
            <a:ext uri="{FF2B5EF4-FFF2-40B4-BE49-F238E27FC236}">
              <a16:creationId xmlns:a16="http://schemas.microsoft.com/office/drawing/2014/main" id="{E64F91DF-ACF5-49A0-917E-5D325AB2D371}"/>
            </a:ext>
          </a:extLst>
        </xdr:cNvPr>
        <xdr:cNvSpPr/>
      </xdr:nvSpPr>
      <xdr:spPr>
        <a:xfrm>
          <a:off x="17507585" y="1355361"/>
          <a:ext cx="3857625" cy="1150076"/>
        </a:xfrm>
        <a:prstGeom prst="wedgeRoundRectCallout">
          <a:avLst>
            <a:gd name="adj1" fmla="val 23692"/>
            <a:gd name="adj2" fmla="val -68275"/>
            <a:gd name="adj3" fmla="val 16667"/>
          </a:avLst>
        </a:prstGeom>
        <a:ln w="28575">
          <a:solidFill>
            <a:srgbClr val="FFC000"/>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600" b="0" i="0" u="none" strike="noStrike" kern="0" cap="none" spc="0" normalizeH="0" baseline="0" noProof="0">
              <a:ln>
                <a:noFill/>
              </a:ln>
              <a:solidFill>
                <a:prstClr val="black"/>
              </a:solidFill>
              <a:effectLst/>
              <a:uLnTx/>
              <a:uFillTx/>
              <a:latin typeface="Arial" panose="020B0604020202020204" pitchFamily="34" charset="0"/>
              <a:ea typeface="+mn-ea"/>
              <a:cs typeface="+mn-cs"/>
            </a:rPr>
            <a:t>Values outside of these Limits are Error</a:t>
          </a:r>
          <a:endParaRPr kumimoji="0" lang="en-US" sz="1600" b="0" i="0" u="none" strike="noStrike" kern="0" cap="none" spc="0" normalizeH="0" baseline="0" noProof="0">
            <a:ln>
              <a:noFill/>
            </a:ln>
            <a:solidFill>
              <a:prstClr val="black"/>
            </a:solidFill>
            <a:effectLst/>
            <a:uLnTx/>
            <a:uFillTx/>
            <a:latin typeface="+mn-lt"/>
            <a:ea typeface="+mn-ea"/>
            <a:cs typeface="+mn-cs"/>
          </a:endParaRPr>
        </a:p>
        <a:p>
          <a:pPr algn="l"/>
          <a:endParaRPr lang="en-US" sz="1400"/>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AFE23-4726-4357-995A-98AE9E039973}">
  <sheetPr>
    <pageSetUpPr fitToPage="1"/>
  </sheetPr>
  <dimension ref="A1:M545"/>
  <sheetViews>
    <sheetView tabSelected="1" topLeftCell="A531" zoomScale="55" zoomScaleNormal="55" zoomScalePageLayoutView="29" workbookViewId="0">
      <selection activeCell="V550" sqref="V550"/>
    </sheetView>
  </sheetViews>
  <sheetFormatPr defaultColWidth="8.7109375" defaultRowHeight="25.5" x14ac:dyDescent="0.35"/>
  <cols>
    <col min="1" max="1" width="58.85546875" style="3" customWidth="1"/>
    <col min="2" max="2" width="12.140625" style="3" customWidth="1"/>
    <col min="3" max="3" width="13.5703125" style="3" bestFit="1" customWidth="1"/>
    <col min="4" max="4" width="18.85546875" style="3" customWidth="1"/>
    <col min="5" max="5" width="12.28515625" style="3" customWidth="1"/>
    <col min="6" max="6" width="89.42578125" style="4" customWidth="1"/>
    <col min="7" max="7" width="65.7109375" style="3" customWidth="1"/>
    <col min="8" max="8" width="22.140625" style="3" bestFit="1" customWidth="1"/>
    <col min="9" max="9" width="29.140625" style="3" customWidth="1"/>
    <col min="10" max="10" width="75.28515625" style="26" hidden="1" customWidth="1"/>
    <col min="11" max="11" width="7.7109375" style="1" hidden="1" customWidth="1"/>
    <col min="12" max="12" width="7.28515625" style="1" hidden="1" customWidth="1"/>
    <col min="13" max="13" width="12.7109375" style="1" hidden="1" customWidth="1"/>
    <col min="14" max="16384" width="8.7109375" style="1"/>
  </cols>
  <sheetData>
    <row r="1" spans="1:13" ht="46.5" x14ac:dyDescent="0.7">
      <c r="A1" s="39" t="s">
        <v>1145</v>
      </c>
      <c r="B1" s="39"/>
      <c r="C1" s="39"/>
      <c r="D1" s="39"/>
      <c r="E1" s="39"/>
      <c r="F1" s="39"/>
      <c r="G1" s="39"/>
      <c r="H1" s="39"/>
      <c r="I1" s="39"/>
    </row>
    <row r="2" spans="1:13" s="2" customFormat="1" ht="31.5" x14ac:dyDescent="0.5">
      <c r="A2" s="43" t="s">
        <v>0</v>
      </c>
      <c r="B2" s="44"/>
      <c r="C2" s="44"/>
      <c r="D2" s="44"/>
      <c r="E2" s="44"/>
      <c r="F2" s="45"/>
      <c r="G2" s="43" t="s">
        <v>983</v>
      </c>
      <c r="H2" s="44"/>
      <c r="I2" s="45"/>
      <c r="J2" s="26"/>
    </row>
    <row r="3" spans="1:13" s="2" customFormat="1" ht="63" x14ac:dyDescent="0.35">
      <c r="A3" s="23" t="s">
        <v>1</v>
      </c>
      <c r="B3" s="23" t="s">
        <v>2</v>
      </c>
      <c r="C3" s="37" t="s">
        <v>3</v>
      </c>
      <c r="D3" s="38"/>
      <c r="E3" s="23" t="s">
        <v>4</v>
      </c>
      <c r="F3" s="23" t="s">
        <v>5</v>
      </c>
      <c r="G3" s="23" t="s">
        <v>6</v>
      </c>
      <c r="H3" s="23" t="s">
        <v>7</v>
      </c>
      <c r="I3" s="23" t="s">
        <v>8</v>
      </c>
      <c r="J3" s="26"/>
    </row>
    <row r="4" spans="1:13" ht="125.45" customHeight="1" x14ac:dyDescent="0.35">
      <c r="A4" s="40"/>
      <c r="B4" s="41"/>
      <c r="C4" s="41"/>
      <c r="D4" s="41"/>
      <c r="E4" s="41"/>
      <c r="F4" s="41"/>
      <c r="G4" s="41"/>
      <c r="H4" s="41"/>
      <c r="I4" s="42"/>
    </row>
    <row r="5" spans="1:13" ht="60.75" x14ac:dyDescent="0.25">
      <c r="A5" s="5" t="s">
        <v>9</v>
      </c>
      <c r="B5" s="5" t="s">
        <v>10</v>
      </c>
      <c r="C5" s="5">
        <v>1</v>
      </c>
      <c r="D5" s="5" t="s">
        <v>1146</v>
      </c>
      <c r="E5" s="5">
        <v>1</v>
      </c>
      <c r="F5" s="6" t="s">
        <v>11</v>
      </c>
      <c r="G5" s="6" t="s">
        <v>12</v>
      </c>
      <c r="H5" s="6"/>
      <c r="I5" s="6"/>
      <c r="J5" s="27" t="s">
        <v>9</v>
      </c>
      <c r="K5" s="1">
        <f>C5-1</f>
        <v>0</v>
      </c>
      <c r="L5" s="1" t="str">
        <f>DEC2HEX(K5)</f>
        <v>0</v>
      </c>
      <c r="M5" s="1" t="str">
        <f>_xlfn.CONCAT("0x00", L5)</f>
        <v>0x000</v>
      </c>
    </row>
    <row r="6" spans="1:13" ht="60.75" x14ac:dyDescent="0.25">
      <c r="A6" s="5" t="s">
        <v>13</v>
      </c>
      <c r="B6" s="5" t="s">
        <v>10</v>
      </c>
      <c r="C6" s="5">
        <v>2</v>
      </c>
      <c r="D6" s="5" t="s">
        <v>1147</v>
      </c>
      <c r="E6" s="5">
        <v>1</v>
      </c>
      <c r="F6" s="6" t="s">
        <v>542</v>
      </c>
      <c r="G6" s="6" t="s">
        <v>14</v>
      </c>
      <c r="H6" s="6"/>
      <c r="I6" s="6"/>
      <c r="J6" s="27" t="s">
        <v>1003</v>
      </c>
      <c r="K6" s="1">
        <f>C6-1</f>
        <v>1</v>
      </c>
      <c r="L6" s="1" t="str">
        <f>DEC2HEX(K6)</f>
        <v>1</v>
      </c>
      <c r="M6" s="1" t="str">
        <f>_xlfn.CONCAT("0x00", L6)</f>
        <v>0x001</v>
      </c>
    </row>
    <row r="7" spans="1:13" ht="81" x14ac:dyDescent="0.25">
      <c r="A7" s="5" t="s">
        <v>15</v>
      </c>
      <c r="B7" s="5" t="s">
        <v>10</v>
      </c>
      <c r="C7" s="5">
        <v>3</v>
      </c>
      <c r="D7" s="5" t="s">
        <v>1148</v>
      </c>
      <c r="E7" s="5">
        <v>1</v>
      </c>
      <c r="F7" s="6" t="s">
        <v>16</v>
      </c>
      <c r="G7" s="6" t="s">
        <v>17</v>
      </c>
      <c r="H7" s="6"/>
      <c r="I7" s="6"/>
      <c r="J7" s="27" t="s">
        <v>1004</v>
      </c>
      <c r="K7" s="1">
        <f t="shared" ref="K7:K70" si="0">C7-1</f>
        <v>2</v>
      </c>
      <c r="L7" s="1" t="str">
        <f t="shared" ref="L7:L70" si="1">DEC2HEX(K7)</f>
        <v>2</v>
      </c>
      <c r="M7" s="1" t="str">
        <f t="shared" ref="M7:M70" si="2">_xlfn.CONCAT("0x00", L7)</f>
        <v>0x002</v>
      </c>
    </row>
    <row r="8" spans="1:13" ht="81" x14ac:dyDescent="0.25">
      <c r="A8" s="5" t="s">
        <v>18</v>
      </c>
      <c r="B8" s="5" t="s">
        <v>10</v>
      </c>
      <c r="C8" s="5">
        <v>4</v>
      </c>
      <c r="D8" s="5" t="s">
        <v>1149</v>
      </c>
      <c r="E8" s="5">
        <v>1</v>
      </c>
      <c r="F8" s="6" t="s">
        <v>19</v>
      </c>
      <c r="G8" s="6" t="s">
        <v>17</v>
      </c>
      <c r="H8" s="6"/>
      <c r="I8" s="6"/>
      <c r="J8" s="27" t="s">
        <v>1004</v>
      </c>
      <c r="K8" s="1">
        <f t="shared" si="0"/>
        <v>3</v>
      </c>
      <c r="L8" s="1" t="str">
        <f t="shared" si="1"/>
        <v>3</v>
      </c>
      <c r="M8" s="1" t="str">
        <f t="shared" si="2"/>
        <v>0x003</v>
      </c>
    </row>
    <row r="9" spans="1:13" ht="81" x14ac:dyDescent="0.25">
      <c r="A9" s="5" t="s">
        <v>20</v>
      </c>
      <c r="B9" s="5" t="s">
        <v>10</v>
      </c>
      <c r="C9" s="5">
        <v>5</v>
      </c>
      <c r="D9" s="5" t="s">
        <v>1150</v>
      </c>
      <c r="E9" s="5">
        <v>1</v>
      </c>
      <c r="F9" s="6" t="s">
        <v>21</v>
      </c>
      <c r="G9" s="6" t="s">
        <v>17</v>
      </c>
      <c r="H9" s="6"/>
      <c r="I9" s="6"/>
      <c r="J9" s="27" t="s">
        <v>1004</v>
      </c>
      <c r="K9" s="1">
        <f t="shared" si="0"/>
        <v>4</v>
      </c>
      <c r="L9" s="1" t="str">
        <f t="shared" si="1"/>
        <v>4</v>
      </c>
      <c r="M9" s="1" t="str">
        <f t="shared" si="2"/>
        <v>0x004</v>
      </c>
    </row>
    <row r="10" spans="1:13" ht="182.25" x14ac:dyDescent="0.25">
      <c r="A10" s="5" t="s">
        <v>22</v>
      </c>
      <c r="B10" s="5" t="s">
        <v>10</v>
      </c>
      <c r="C10" s="5">
        <v>6</v>
      </c>
      <c r="D10" s="5" t="s">
        <v>1151</v>
      </c>
      <c r="E10" s="5">
        <v>1</v>
      </c>
      <c r="F10" s="6" t="s">
        <v>984</v>
      </c>
      <c r="G10" s="6" t="s">
        <v>977</v>
      </c>
      <c r="H10" s="6"/>
      <c r="I10" s="6"/>
      <c r="J10" s="27" t="s">
        <v>1005</v>
      </c>
      <c r="K10" s="1">
        <f t="shared" si="0"/>
        <v>5</v>
      </c>
      <c r="L10" s="1" t="str">
        <f t="shared" si="1"/>
        <v>5</v>
      </c>
      <c r="M10" s="1" t="str">
        <f t="shared" si="2"/>
        <v>0x005</v>
      </c>
    </row>
    <row r="11" spans="1:13" ht="40.5" x14ac:dyDescent="0.25">
      <c r="A11" s="5" t="s">
        <v>23</v>
      </c>
      <c r="B11" s="5" t="s">
        <v>10</v>
      </c>
      <c r="C11" s="5">
        <v>7</v>
      </c>
      <c r="D11" s="5" t="s">
        <v>1152</v>
      </c>
      <c r="E11" s="5">
        <v>1</v>
      </c>
      <c r="F11" s="7" t="s">
        <v>24</v>
      </c>
      <c r="G11" s="8" t="s">
        <v>25</v>
      </c>
      <c r="H11" s="6" t="s">
        <v>26</v>
      </c>
      <c r="I11" s="6" t="s">
        <v>27</v>
      </c>
      <c r="J11" s="27" t="s">
        <v>1006</v>
      </c>
      <c r="K11" s="1">
        <f t="shared" si="0"/>
        <v>6</v>
      </c>
      <c r="L11" s="1" t="str">
        <f t="shared" si="1"/>
        <v>6</v>
      </c>
      <c r="M11" s="1" t="str">
        <f t="shared" si="2"/>
        <v>0x006</v>
      </c>
    </row>
    <row r="12" spans="1:13" x14ac:dyDescent="0.25">
      <c r="A12" s="5" t="s">
        <v>28</v>
      </c>
      <c r="B12" s="5" t="s">
        <v>10</v>
      </c>
      <c r="C12" s="5">
        <v>8</v>
      </c>
      <c r="D12" s="5" t="s">
        <v>1153</v>
      </c>
      <c r="E12" s="5">
        <v>1</v>
      </c>
      <c r="F12" s="9" t="s">
        <v>970</v>
      </c>
      <c r="G12" s="8" t="s">
        <v>971</v>
      </c>
      <c r="H12" s="8" t="s">
        <v>972</v>
      </c>
      <c r="I12" s="8" t="s">
        <v>973</v>
      </c>
      <c r="J12" s="27" t="s">
        <v>1007</v>
      </c>
      <c r="K12" s="1">
        <f t="shared" si="0"/>
        <v>7</v>
      </c>
      <c r="L12" s="1" t="str">
        <f t="shared" si="1"/>
        <v>7</v>
      </c>
      <c r="M12" s="1" t="str">
        <f t="shared" si="2"/>
        <v>0x007</v>
      </c>
    </row>
    <row r="13" spans="1:13" x14ac:dyDescent="0.25">
      <c r="A13" s="5" t="s">
        <v>29</v>
      </c>
      <c r="B13" s="5" t="s">
        <v>10</v>
      </c>
      <c r="C13" s="5">
        <v>9</v>
      </c>
      <c r="D13" s="5" t="s">
        <v>1154</v>
      </c>
      <c r="E13" s="5">
        <v>1</v>
      </c>
      <c r="F13" s="7" t="s">
        <v>613</v>
      </c>
      <c r="G13" s="10" t="s">
        <v>30</v>
      </c>
      <c r="H13" s="10" t="s">
        <v>31</v>
      </c>
      <c r="I13" s="10" t="s">
        <v>32</v>
      </c>
      <c r="J13" s="27" t="s">
        <v>1008</v>
      </c>
      <c r="K13" s="1">
        <f t="shared" si="0"/>
        <v>8</v>
      </c>
      <c r="L13" s="1" t="str">
        <f t="shared" si="1"/>
        <v>8</v>
      </c>
      <c r="M13" s="1" t="str">
        <f t="shared" si="2"/>
        <v>0x008</v>
      </c>
    </row>
    <row r="14" spans="1:13" x14ac:dyDescent="0.25">
      <c r="A14" s="5" t="s">
        <v>33</v>
      </c>
      <c r="B14" s="5" t="s">
        <v>10</v>
      </c>
      <c r="C14" s="5">
        <v>10</v>
      </c>
      <c r="D14" s="5" t="s">
        <v>1155</v>
      </c>
      <c r="E14" s="5">
        <v>1</v>
      </c>
      <c r="F14" s="6" t="s">
        <v>34</v>
      </c>
      <c r="G14" s="6" t="s">
        <v>35</v>
      </c>
      <c r="H14" s="11">
        <v>-1</v>
      </c>
      <c r="I14" s="6" t="s">
        <v>36</v>
      </c>
      <c r="J14" s="27" t="s">
        <v>1009</v>
      </c>
      <c r="K14" s="1">
        <f t="shared" si="0"/>
        <v>9</v>
      </c>
      <c r="L14" s="1" t="str">
        <f t="shared" si="1"/>
        <v>9</v>
      </c>
      <c r="M14" s="1" t="str">
        <f t="shared" si="2"/>
        <v>0x009</v>
      </c>
    </row>
    <row r="15" spans="1:13" ht="40.5" x14ac:dyDescent="0.25">
      <c r="A15" s="5" t="s">
        <v>37</v>
      </c>
      <c r="B15" s="5" t="s">
        <v>10</v>
      </c>
      <c r="C15" s="5">
        <v>11</v>
      </c>
      <c r="D15" s="5" t="s">
        <v>1156</v>
      </c>
      <c r="E15" s="5">
        <v>1</v>
      </c>
      <c r="F15" s="6" t="s">
        <v>38</v>
      </c>
      <c r="G15" s="6" t="s">
        <v>39</v>
      </c>
      <c r="H15" s="6"/>
      <c r="I15" s="6"/>
      <c r="J15" s="27" t="s">
        <v>1010</v>
      </c>
      <c r="K15" s="1">
        <f t="shared" si="0"/>
        <v>10</v>
      </c>
      <c r="L15" s="1" t="str">
        <f t="shared" si="1"/>
        <v>A</v>
      </c>
      <c r="M15" s="1" t="str">
        <f t="shared" si="2"/>
        <v>0x00A</v>
      </c>
    </row>
    <row r="16" spans="1:13" ht="40.5" x14ac:dyDescent="0.25">
      <c r="A16" s="5" t="s">
        <v>40</v>
      </c>
      <c r="B16" s="5" t="s">
        <v>10</v>
      </c>
      <c r="C16" s="5">
        <v>12</v>
      </c>
      <c r="D16" s="5" t="s">
        <v>1157</v>
      </c>
      <c r="E16" s="5">
        <v>2</v>
      </c>
      <c r="F16" s="6" t="s">
        <v>41</v>
      </c>
      <c r="G16" s="10" t="s">
        <v>42</v>
      </c>
      <c r="H16" s="10" t="s">
        <v>43</v>
      </c>
      <c r="I16" s="12" t="s">
        <v>44</v>
      </c>
      <c r="J16" s="27" t="s">
        <v>1011</v>
      </c>
      <c r="K16" s="1">
        <f t="shared" si="0"/>
        <v>11</v>
      </c>
      <c r="L16" s="1" t="str">
        <f t="shared" si="1"/>
        <v>B</v>
      </c>
      <c r="M16" s="1" t="str">
        <f t="shared" si="2"/>
        <v>0x00B</v>
      </c>
    </row>
    <row r="17" spans="1:13" ht="40.5" x14ac:dyDescent="0.25">
      <c r="A17" s="5" t="s">
        <v>45</v>
      </c>
      <c r="B17" s="5" t="s">
        <v>10</v>
      </c>
      <c r="C17" s="5">
        <v>14</v>
      </c>
      <c r="D17" s="5" t="s">
        <v>1158</v>
      </c>
      <c r="E17" s="5">
        <v>2</v>
      </c>
      <c r="F17" s="6" t="s">
        <v>46</v>
      </c>
      <c r="G17" s="6" t="s">
        <v>47</v>
      </c>
      <c r="H17" s="6" t="s">
        <v>48</v>
      </c>
      <c r="I17" s="6" t="s">
        <v>49</v>
      </c>
      <c r="J17" s="27" t="s">
        <v>1012</v>
      </c>
      <c r="K17" s="1">
        <f t="shared" si="0"/>
        <v>13</v>
      </c>
      <c r="L17" s="1" t="str">
        <f t="shared" si="1"/>
        <v>D</v>
      </c>
      <c r="M17" s="1" t="str">
        <f t="shared" si="2"/>
        <v>0x00D</v>
      </c>
    </row>
    <row r="18" spans="1:13" ht="40.5" x14ac:dyDescent="0.25">
      <c r="A18" s="5" t="s">
        <v>50</v>
      </c>
      <c r="B18" s="5" t="s">
        <v>10</v>
      </c>
      <c r="C18" s="5">
        <v>16</v>
      </c>
      <c r="D18" s="5" t="s">
        <v>1159</v>
      </c>
      <c r="E18" s="5">
        <v>2</v>
      </c>
      <c r="F18" s="6" t="s">
        <v>51</v>
      </c>
      <c r="G18" s="10" t="s">
        <v>52</v>
      </c>
      <c r="H18" s="10" t="s">
        <v>53</v>
      </c>
      <c r="I18" s="12" t="s">
        <v>54</v>
      </c>
      <c r="J18" s="27" t="s">
        <v>1013</v>
      </c>
      <c r="K18" s="1">
        <f t="shared" si="0"/>
        <v>15</v>
      </c>
      <c r="L18" s="1" t="str">
        <f t="shared" si="1"/>
        <v>F</v>
      </c>
      <c r="M18" s="1" t="str">
        <f t="shared" si="2"/>
        <v>0x00F</v>
      </c>
    </row>
    <row r="19" spans="1:13" ht="40.5" x14ac:dyDescent="0.25">
      <c r="A19" s="5" t="s">
        <v>998</v>
      </c>
      <c r="B19" s="5" t="s">
        <v>10</v>
      </c>
      <c r="C19" s="5">
        <v>18</v>
      </c>
      <c r="D19" s="5" t="s">
        <v>1160</v>
      </c>
      <c r="E19" s="5">
        <v>1</v>
      </c>
      <c r="F19" s="6" t="s">
        <v>59</v>
      </c>
      <c r="G19" s="8" t="s">
        <v>25</v>
      </c>
      <c r="H19" s="6" t="s">
        <v>26</v>
      </c>
      <c r="I19" s="6" t="s">
        <v>27</v>
      </c>
      <c r="J19" s="27" t="s">
        <v>1006</v>
      </c>
      <c r="K19" s="1">
        <f t="shared" si="0"/>
        <v>17</v>
      </c>
      <c r="L19" s="1" t="str">
        <f t="shared" si="1"/>
        <v>11</v>
      </c>
      <c r="M19" s="1" t="str">
        <f t="shared" si="2"/>
        <v>0x0011</v>
      </c>
    </row>
    <row r="20" spans="1:13" x14ac:dyDescent="0.25">
      <c r="A20" s="5" t="s">
        <v>999</v>
      </c>
      <c r="B20" s="5" t="s">
        <v>10</v>
      </c>
      <c r="C20" s="5">
        <v>19</v>
      </c>
      <c r="D20" s="5" t="s">
        <v>1161</v>
      </c>
      <c r="E20" s="5">
        <v>1</v>
      </c>
      <c r="F20" s="6" t="s">
        <v>1697</v>
      </c>
      <c r="G20" s="10" t="s">
        <v>30</v>
      </c>
      <c r="H20" s="10" t="s">
        <v>1142</v>
      </c>
      <c r="I20" s="10" t="s">
        <v>1143</v>
      </c>
      <c r="J20" s="27" t="s">
        <v>1008</v>
      </c>
      <c r="K20" s="1">
        <f t="shared" si="0"/>
        <v>18</v>
      </c>
      <c r="L20" s="1" t="str">
        <f t="shared" si="1"/>
        <v>12</v>
      </c>
      <c r="M20" s="1" t="str">
        <f t="shared" si="2"/>
        <v>0x0012</v>
      </c>
    </row>
    <row r="21" spans="1:13" ht="40.5" x14ac:dyDescent="0.25">
      <c r="A21" s="5" t="s">
        <v>1000</v>
      </c>
      <c r="B21" s="5" t="s">
        <v>10</v>
      </c>
      <c r="C21" s="5">
        <v>20</v>
      </c>
      <c r="D21" s="5" t="s">
        <v>1162</v>
      </c>
      <c r="E21" s="5">
        <v>1</v>
      </c>
      <c r="F21" s="6" t="s">
        <v>62</v>
      </c>
      <c r="G21" s="8" t="s">
        <v>25</v>
      </c>
      <c r="H21" s="6" t="s">
        <v>26</v>
      </c>
      <c r="I21" s="6" t="s">
        <v>27</v>
      </c>
      <c r="J21" s="27" t="s">
        <v>1014</v>
      </c>
      <c r="K21" s="1">
        <f t="shared" si="0"/>
        <v>19</v>
      </c>
      <c r="L21" s="1" t="str">
        <f t="shared" si="1"/>
        <v>13</v>
      </c>
      <c r="M21" s="1" t="str">
        <f t="shared" si="2"/>
        <v>0x0013</v>
      </c>
    </row>
    <row r="22" spans="1:13" ht="40.5" x14ac:dyDescent="0.25">
      <c r="A22" s="5" t="s">
        <v>58</v>
      </c>
      <c r="B22" s="5" t="s">
        <v>10</v>
      </c>
      <c r="C22" s="5">
        <v>21</v>
      </c>
      <c r="D22" s="5" t="s">
        <v>1163</v>
      </c>
      <c r="E22" s="5">
        <v>1</v>
      </c>
      <c r="F22" s="6" t="s">
        <v>71</v>
      </c>
      <c r="G22" s="8" t="s">
        <v>25</v>
      </c>
      <c r="H22" s="6" t="s">
        <v>26</v>
      </c>
      <c r="I22" s="6" t="s">
        <v>27</v>
      </c>
      <c r="J22" s="27" t="s">
        <v>1006</v>
      </c>
      <c r="K22" s="1">
        <f t="shared" si="0"/>
        <v>20</v>
      </c>
      <c r="L22" s="1" t="str">
        <f t="shared" si="1"/>
        <v>14</v>
      </c>
      <c r="M22" s="1" t="str">
        <f t="shared" si="2"/>
        <v>0x0014</v>
      </c>
    </row>
    <row r="23" spans="1:13" ht="40.5" x14ac:dyDescent="0.25">
      <c r="A23" s="5" t="s">
        <v>60</v>
      </c>
      <c r="B23" s="5" t="s">
        <v>10</v>
      </c>
      <c r="C23" s="5">
        <v>22</v>
      </c>
      <c r="D23" s="5" t="s">
        <v>1164</v>
      </c>
      <c r="E23" s="5">
        <v>1</v>
      </c>
      <c r="F23" s="6" t="s">
        <v>73</v>
      </c>
      <c r="G23" s="8" t="s">
        <v>25</v>
      </c>
      <c r="H23" s="6" t="s">
        <v>26</v>
      </c>
      <c r="I23" s="6" t="s">
        <v>27</v>
      </c>
      <c r="J23" s="27" t="s">
        <v>1006</v>
      </c>
      <c r="K23" s="1">
        <f t="shared" si="0"/>
        <v>21</v>
      </c>
      <c r="L23" s="1" t="str">
        <f t="shared" si="1"/>
        <v>15</v>
      </c>
      <c r="M23" s="1" t="str">
        <f t="shared" si="2"/>
        <v>0x0015</v>
      </c>
    </row>
    <row r="24" spans="1:13" ht="40.5" x14ac:dyDescent="0.25">
      <c r="A24" s="5" t="s">
        <v>61</v>
      </c>
      <c r="B24" s="5" t="s">
        <v>10</v>
      </c>
      <c r="C24" s="5">
        <v>23</v>
      </c>
      <c r="D24" s="5" t="s">
        <v>1165</v>
      </c>
      <c r="E24" s="5">
        <v>1</v>
      </c>
      <c r="F24" s="6" t="s">
        <v>75</v>
      </c>
      <c r="G24" s="8" t="s">
        <v>25</v>
      </c>
      <c r="H24" s="6" t="s">
        <v>26</v>
      </c>
      <c r="I24" s="6" t="s">
        <v>27</v>
      </c>
      <c r="J24" s="27" t="s">
        <v>1006</v>
      </c>
      <c r="K24" s="1">
        <f t="shared" si="0"/>
        <v>22</v>
      </c>
      <c r="L24" s="1" t="str">
        <f t="shared" si="1"/>
        <v>16</v>
      </c>
      <c r="M24" s="1" t="str">
        <f t="shared" si="2"/>
        <v>0x0016</v>
      </c>
    </row>
    <row r="25" spans="1:13" x14ac:dyDescent="0.25">
      <c r="A25" s="5" t="s">
        <v>63</v>
      </c>
      <c r="B25" s="5" t="s">
        <v>10</v>
      </c>
      <c r="C25" s="5">
        <v>24</v>
      </c>
      <c r="D25" s="5" t="s">
        <v>1166</v>
      </c>
      <c r="E25" s="5">
        <v>1</v>
      </c>
      <c r="F25" s="6" t="s">
        <v>64</v>
      </c>
      <c r="G25" s="6" t="s">
        <v>65</v>
      </c>
      <c r="H25" s="8" t="s">
        <v>972</v>
      </c>
      <c r="I25" s="8" t="s">
        <v>973</v>
      </c>
      <c r="J25" s="27" t="s">
        <v>1007</v>
      </c>
      <c r="K25" s="1">
        <f t="shared" si="0"/>
        <v>23</v>
      </c>
      <c r="L25" s="1" t="str">
        <f t="shared" si="1"/>
        <v>17</v>
      </c>
      <c r="M25" s="1" t="str">
        <f t="shared" si="2"/>
        <v>0x0017</v>
      </c>
    </row>
    <row r="26" spans="1:13" x14ac:dyDescent="0.25">
      <c r="A26" s="5" t="s">
        <v>66</v>
      </c>
      <c r="B26" s="5" t="s">
        <v>10</v>
      </c>
      <c r="C26" s="5">
        <v>25</v>
      </c>
      <c r="D26" s="5" t="s">
        <v>1167</v>
      </c>
      <c r="E26" s="5">
        <v>1</v>
      </c>
      <c r="F26" s="6" t="s">
        <v>67</v>
      </c>
      <c r="G26" s="6" t="s">
        <v>65</v>
      </c>
      <c r="H26" s="8" t="s">
        <v>972</v>
      </c>
      <c r="I26" s="8" t="s">
        <v>973</v>
      </c>
      <c r="J26" s="27" t="s">
        <v>1007</v>
      </c>
      <c r="K26" s="1">
        <f t="shared" si="0"/>
        <v>24</v>
      </c>
      <c r="L26" s="1" t="str">
        <f t="shared" si="1"/>
        <v>18</v>
      </c>
      <c r="M26" s="1" t="str">
        <f t="shared" si="2"/>
        <v>0x0018</v>
      </c>
    </row>
    <row r="27" spans="1:13" x14ac:dyDescent="0.25">
      <c r="A27" s="5" t="s">
        <v>68</v>
      </c>
      <c r="B27" s="5" t="s">
        <v>10</v>
      </c>
      <c r="C27" s="5">
        <v>26</v>
      </c>
      <c r="D27" s="5" t="s">
        <v>1168</v>
      </c>
      <c r="E27" s="5">
        <v>1</v>
      </c>
      <c r="F27" s="6" t="s">
        <v>69</v>
      </c>
      <c r="G27" s="6" t="s">
        <v>65</v>
      </c>
      <c r="H27" s="8" t="s">
        <v>972</v>
      </c>
      <c r="I27" s="8" t="s">
        <v>973</v>
      </c>
      <c r="J27" s="27" t="s">
        <v>1007</v>
      </c>
      <c r="K27" s="1">
        <f t="shared" si="0"/>
        <v>25</v>
      </c>
      <c r="L27" s="1" t="str">
        <f t="shared" si="1"/>
        <v>19</v>
      </c>
      <c r="M27" s="1" t="str">
        <f t="shared" si="2"/>
        <v>0x0019</v>
      </c>
    </row>
    <row r="28" spans="1:13" ht="40.5" x14ac:dyDescent="0.25">
      <c r="A28" s="5" t="s">
        <v>70</v>
      </c>
      <c r="B28" s="5" t="s">
        <v>10</v>
      </c>
      <c r="C28" s="5">
        <v>27</v>
      </c>
      <c r="D28" s="5" t="s">
        <v>1169</v>
      </c>
      <c r="E28" s="5">
        <v>1</v>
      </c>
      <c r="F28" s="6" t="s">
        <v>71</v>
      </c>
      <c r="G28" s="8" t="s">
        <v>25</v>
      </c>
      <c r="H28" s="6" t="s">
        <v>26</v>
      </c>
      <c r="I28" s="6" t="s">
        <v>27</v>
      </c>
      <c r="J28" s="27" t="s">
        <v>1006</v>
      </c>
      <c r="K28" s="1">
        <f t="shared" si="0"/>
        <v>26</v>
      </c>
      <c r="L28" s="1" t="str">
        <f t="shared" si="1"/>
        <v>1A</v>
      </c>
      <c r="M28" s="1" t="str">
        <f t="shared" si="2"/>
        <v>0x001A</v>
      </c>
    </row>
    <row r="29" spans="1:13" ht="40.5" x14ac:dyDescent="0.25">
      <c r="A29" s="5" t="s">
        <v>72</v>
      </c>
      <c r="B29" s="5" t="s">
        <v>10</v>
      </c>
      <c r="C29" s="5">
        <v>28</v>
      </c>
      <c r="D29" s="5" t="s">
        <v>1170</v>
      </c>
      <c r="E29" s="5">
        <v>1</v>
      </c>
      <c r="F29" s="6" t="s">
        <v>73</v>
      </c>
      <c r="G29" s="8" t="s">
        <v>25</v>
      </c>
      <c r="H29" s="6" t="s">
        <v>26</v>
      </c>
      <c r="I29" s="6" t="s">
        <v>27</v>
      </c>
      <c r="J29" s="27" t="s">
        <v>1006</v>
      </c>
      <c r="K29" s="1">
        <f t="shared" si="0"/>
        <v>27</v>
      </c>
      <c r="L29" s="1" t="str">
        <f t="shared" si="1"/>
        <v>1B</v>
      </c>
      <c r="M29" s="1" t="str">
        <f t="shared" si="2"/>
        <v>0x001B</v>
      </c>
    </row>
    <row r="30" spans="1:13" ht="40.5" x14ac:dyDescent="0.25">
      <c r="A30" s="5" t="s">
        <v>74</v>
      </c>
      <c r="B30" s="5" t="s">
        <v>10</v>
      </c>
      <c r="C30" s="5">
        <v>29</v>
      </c>
      <c r="D30" s="5" t="s">
        <v>1171</v>
      </c>
      <c r="E30" s="5">
        <v>1</v>
      </c>
      <c r="F30" s="6" t="s">
        <v>75</v>
      </c>
      <c r="G30" s="8" t="s">
        <v>25</v>
      </c>
      <c r="H30" s="6" t="s">
        <v>26</v>
      </c>
      <c r="I30" s="6" t="s">
        <v>27</v>
      </c>
      <c r="J30" s="27" t="s">
        <v>1006</v>
      </c>
      <c r="K30" s="1">
        <f t="shared" si="0"/>
        <v>28</v>
      </c>
      <c r="L30" s="1" t="str">
        <f t="shared" si="1"/>
        <v>1C</v>
      </c>
      <c r="M30" s="1" t="str">
        <f t="shared" si="2"/>
        <v>0x001C</v>
      </c>
    </row>
    <row r="31" spans="1:13" ht="40.5" x14ac:dyDescent="0.25">
      <c r="A31" s="5" t="s">
        <v>76</v>
      </c>
      <c r="B31" s="5" t="s">
        <v>10</v>
      </c>
      <c r="C31" s="5">
        <v>30</v>
      </c>
      <c r="D31" s="5" t="s">
        <v>1172</v>
      </c>
      <c r="E31" s="5">
        <v>2</v>
      </c>
      <c r="F31" s="6" t="s">
        <v>614</v>
      </c>
      <c r="G31" s="6" t="s">
        <v>77</v>
      </c>
      <c r="H31" s="6" t="s">
        <v>78</v>
      </c>
      <c r="I31" s="6" t="s">
        <v>79</v>
      </c>
      <c r="J31" s="27" t="s">
        <v>1015</v>
      </c>
      <c r="K31" s="1">
        <f t="shared" si="0"/>
        <v>29</v>
      </c>
      <c r="L31" s="1" t="str">
        <f t="shared" si="1"/>
        <v>1D</v>
      </c>
      <c r="M31" s="1" t="str">
        <f t="shared" si="2"/>
        <v>0x001D</v>
      </c>
    </row>
    <row r="32" spans="1:13" ht="40.5" x14ac:dyDescent="0.25">
      <c r="A32" s="5" t="s">
        <v>1001</v>
      </c>
      <c r="B32" s="5" t="s">
        <v>10</v>
      </c>
      <c r="C32" s="5">
        <v>32</v>
      </c>
      <c r="D32" s="5" t="s">
        <v>1173</v>
      </c>
      <c r="E32" s="5">
        <v>2</v>
      </c>
      <c r="F32" s="6" t="s">
        <v>985</v>
      </c>
      <c r="G32" s="6" t="s">
        <v>80</v>
      </c>
      <c r="H32" s="6" t="s">
        <v>81</v>
      </c>
      <c r="I32" s="6" t="s">
        <v>82</v>
      </c>
      <c r="J32" s="27" t="s">
        <v>1016</v>
      </c>
      <c r="K32" s="1">
        <f t="shared" si="0"/>
        <v>31</v>
      </c>
      <c r="L32" s="1" t="str">
        <f t="shared" si="1"/>
        <v>1F</v>
      </c>
      <c r="M32" s="1" t="str">
        <f t="shared" si="2"/>
        <v>0x001F</v>
      </c>
    </row>
    <row r="33" spans="1:13" ht="40.5" x14ac:dyDescent="0.25">
      <c r="A33" s="5" t="s">
        <v>1002</v>
      </c>
      <c r="B33" s="5" t="s">
        <v>10</v>
      </c>
      <c r="C33" s="5">
        <v>34</v>
      </c>
      <c r="D33" s="5" t="s">
        <v>1174</v>
      </c>
      <c r="E33" s="5">
        <v>2</v>
      </c>
      <c r="F33" s="6" t="s">
        <v>615</v>
      </c>
      <c r="G33" s="6" t="s">
        <v>80</v>
      </c>
      <c r="H33" s="6" t="s">
        <v>81</v>
      </c>
      <c r="I33" s="6" t="s">
        <v>82</v>
      </c>
      <c r="J33" s="27" t="s">
        <v>1016</v>
      </c>
      <c r="K33" s="1">
        <f t="shared" si="0"/>
        <v>33</v>
      </c>
      <c r="L33" s="1" t="str">
        <f t="shared" si="1"/>
        <v>21</v>
      </c>
      <c r="M33" s="1" t="str">
        <f t="shared" si="2"/>
        <v>0x0021</v>
      </c>
    </row>
    <row r="34" spans="1:13" ht="40.5" x14ac:dyDescent="0.25">
      <c r="A34" s="5" t="s">
        <v>83</v>
      </c>
      <c r="B34" s="5" t="s">
        <v>10</v>
      </c>
      <c r="C34" s="5">
        <v>36</v>
      </c>
      <c r="D34" s="5" t="s">
        <v>1175</v>
      </c>
      <c r="E34" s="5">
        <v>1</v>
      </c>
      <c r="F34" s="6" t="s">
        <v>84</v>
      </c>
      <c r="G34" s="6" t="s">
        <v>85</v>
      </c>
      <c r="H34" s="10" t="s">
        <v>86</v>
      </c>
      <c r="I34" s="10" t="s">
        <v>87</v>
      </c>
      <c r="J34" s="27" t="s">
        <v>1017</v>
      </c>
      <c r="K34" s="1">
        <f t="shared" si="0"/>
        <v>35</v>
      </c>
      <c r="L34" s="1" t="str">
        <f t="shared" si="1"/>
        <v>23</v>
      </c>
      <c r="M34" s="1" t="str">
        <f t="shared" si="2"/>
        <v>0x0023</v>
      </c>
    </row>
    <row r="35" spans="1:13" ht="40.5" x14ac:dyDescent="0.25">
      <c r="A35" s="5" t="s">
        <v>88</v>
      </c>
      <c r="B35" s="5" t="s">
        <v>10</v>
      </c>
      <c r="C35" s="5">
        <v>37</v>
      </c>
      <c r="D35" s="5" t="s">
        <v>1176</v>
      </c>
      <c r="E35" s="5">
        <v>1</v>
      </c>
      <c r="F35" s="6" t="s">
        <v>978</v>
      </c>
      <c r="G35" s="6" t="s">
        <v>85</v>
      </c>
      <c r="H35" s="10" t="s">
        <v>86</v>
      </c>
      <c r="I35" s="10" t="s">
        <v>87</v>
      </c>
      <c r="J35" s="27" t="s">
        <v>1017</v>
      </c>
      <c r="K35" s="1">
        <f t="shared" si="0"/>
        <v>36</v>
      </c>
      <c r="L35" s="1" t="str">
        <f t="shared" si="1"/>
        <v>24</v>
      </c>
      <c r="M35" s="1" t="str">
        <f t="shared" si="2"/>
        <v>0x0024</v>
      </c>
    </row>
    <row r="36" spans="1:13" ht="40.5" x14ac:dyDescent="0.25">
      <c r="A36" s="5" t="s">
        <v>89</v>
      </c>
      <c r="B36" s="5" t="s">
        <v>10</v>
      </c>
      <c r="C36" s="5">
        <v>38</v>
      </c>
      <c r="D36" s="5" t="s">
        <v>1177</v>
      </c>
      <c r="E36" s="5">
        <v>1</v>
      </c>
      <c r="F36" s="6" t="s">
        <v>615</v>
      </c>
      <c r="G36" s="6" t="s">
        <v>85</v>
      </c>
      <c r="H36" s="6" t="s">
        <v>86</v>
      </c>
      <c r="I36" s="6" t="s">
        <v>87</v>
      </c>
      <c r="J36" s="27" t="s">
        <v>1017</v>
      </c>
      <c r="K36" s="1">
        <f t="shared" si="0"/>
        <v>37</v>
      </c>
      <c r="L36" s="1" t="str">
        <f t="shared" si="1"/>
        <v>25</v>
      </c>
      <c r="M36" s="1" t="str">
        <f t="shared" si="2"/>
        <v>0x0025</v>
      </c>
    </row>
    <row r="37" spans="1:13" ht="40.5" x14ac:dyDescent="0.25">
      <c r="A37" s="5" t="s">
        <v>90</v>
      </c>
      <c r="B37" s="5" t="s">
        <v>10</v>
      </c>
      <c r="C37" s="5">
        <v>39</v>
      </c>
      <c r="D37" s="5" t="s">
        <v>1178</v>
      </c>
      <c r="E37" s="5">
        <v>1</v>
      </c>
      <c r="F37" s="6" t="s">
        <v>824</v>
      </c>
      <c r="G37" s="6" t="s">
        <v>85</v>
      </c>
      <c r="H37" s="10" t="s">
        <v>86</v>
      </c>
      <c r="I37" s="10" t="s">
        <v>87</v>
      </c>
      <c r="J37" s="27" t="s">
        <v>1017</v>
      </c>
      <c r="K37" s="1">
        <f t="shared" si="0"/>
        <v>38</v>
      </c>
      <c r="L37" s="1" t="str">
        <f t="shared" si="1"/>
        <v>26</v>
      </c>
      <c r="M37" s="1" t="str">
        <f t="shared" si="2"/>
        <v>0x0026</v>
      </c>
    </row>
    <row r="38" spans="1:13" ht="40.5" x14ac:dyDescent="0.25">
      <c r="A38" s="5" t="s">
        <v>91</v>
      </c>
      <c r="B38" s="5" t="s">
        <v>10</v>
      </c>
      <c r="C38" s="5">
        <v>40</v>
      </c>
      <c r="D38" s="5" t="s">
        <v>1179</v>
      </c>
      <c r="E38" s="5">
        <v>1</v>
      </c>
      <c r="F38" s="6" t="s">
        <v>990</v>
      </c>
      <c r="G38" s="6" t="s">
        <v>92</v>
      </c>
      <c r="H38" s="6" t="s">
        <v>26</v>
      </c>
      <c r="I38" s="6" t="s">
        <v>93</v>
      </c>
      <c r="J38" s="27" t="s">
        <v>1018</v>
      </c>
      <c r="K38" s="1">
        <f t="shared" si="0"/>
        <v>39</v>
      </c>
      <c r="L38" s="1" t="str">
        <f t="shared" si="1"/>
        <v>27</v>
      </c>
      <c r="M38" s="1" t="str">
        <f t="shared" si="2"/>
        <v>0x0027</v>
      </c>
    </row>
    <row r="39" spans="1:13" ht="40.5" x14ac:dyDescent="0.25">
      <c r="A39" s="5" t="s">
        <v>94</v>
      </c>
      <c r="B39" s="5" t="s">
        <v>10</v>
      </c>
      <c r="C39" s="5">
        <v>41</v>
      </c>
      <c r="D39" s="5" t="s">
        <v>1180</v>
      </c>
      <c r="E39" s="5">
        <v>1</v>
      </c>
      <c r="F39" s="6" t="s">
        <v>825</v>
      </c>
      <c r="G39" s="6" t="s">
        <v>95</v>
      </c>
      <c r="H39" s="10" t="s">
        <v>96</v>
      </c>
      <c r="I39" s="10" t="s">
        <v>97</v>
      </c>
      <c r="J39" s="27" t="s">
        <v>1019</v>
      </c>
      <c r="K39" s="1">
        <f t="shared" si="0"/>
        <v>40</v>
      </c>
      <c r="L39" s="1" t="str">
        <f t="shared" si="1"/>
        <v>28</v>
      </c>
      <c r="M39" s="1" t="str">
        <f t="shared" si="2"/>
        <v>0x0028</v>
      </c>
    </row>
    <row r="40" spans="1:13" x14ac:dyDescent="0.25">
      <c r="A40" s="5" t="s">
        <v>98</v>
      </c>
      <c r="B40" s="5" t="s">
        <v>10</v>
      </c>
      <c r="C40" s="5">
        <v>42</v>
      </c>
      <c r="D40" s="5" t="s">
        <v>1181</v>
      </c>
      <c r="E40" s="5">
        <v>1</v>
      </c>
      <c r="F40" s="6" t="s">
        <v>624</v>
      </c>
      <c r="G40" s="10" t="s">
        <v>99</v>
      </c>
      <c r="H40" s="10" t="s">
        <v>100</v>
      </c>
      <c r="I40" s="10" t="s">
        <v>101</v>
      </c>
      <c r="J40" s="27" t="s">
        <v>1020</v>
      </c>
      <c r="K40" s="1">
        <f t="shared" si="0"/>
        <v>41</v>
      </c>
      <c r="L40" s="1" t="str">
        <f t="shared" si="1"/>
        <v>29</v>
      </c>
      <c r="M40" s="1" t="str">
        <f t="shared" si="2"/>
        <v>0x0029</v>
      </c>
    </row>
    <row r="41" spans="1:13" ht="40.5" x14ac:dyDescent="0.25">
      <c r="A41" s="5" t="s">
        <v>102</v>
      </c>
      <c r="B41" s="5" t="s">
        <v>10</v>
      </c>
      <c r="C41" s="5">
        <v>43</v>
      </c>
      <c r="D41" s="5" t="s">
        <v>1182</v>
      </c>
      <c r="E41" s="5">
        <v>2</v>
      </c>
      <c r="F41" s="6" t="s">
        <v>626</v>
      </c>
      <c r="G41" s="6" t="s">
        <v>103</v>
      </c>
      <c r="H41" s="6" t="s">
        <v>104</v>
      </c>
      <c r="I41" s="6" t="s">
        <v>105</v>
      </c>
      <c r="J41" s="27" t="s">
        <v>865</v>
      </c>
      <c r="K41" s="1">
        <f t="shared" si="0"/>
        <v>42</v>
      </c>
      <c r="L41" s="1" t="str">
        <f t="shared" si="1"/>
        <v>2A</v>
      </c>
      <c r="M41" s="1" t="str">
        <f t="shared" si="2"/>
        <v>0x002A</v>
      </c>
    </row>
    <row r="42" spans="1:13" ht="81" x14ac:dyDescent="0.25">
      <c r="A42" s="5" t="s">
        <v>106</v>
      </c>
      <c r="B42" s="5" t="s">
        <v>10</v>
      </c>
      <c r="C42" s="5">
        <v>45</v>
      </c>
      <c r="D42" s="5" t="s">
        <v>1183</v>
      </c>
      <c r="E42" s="5">
        <v>1</v>
      </c>
      <c r="F42" s="6" t="s">
        <v>826</v>
      </c>
      <c r="G42" s="6" t="s">
        <v>107</v>
      </c>
      <c r="H42" s="10" t="s">
        <v>108</v>
      </c>
      <c r="I42" s="10" t="s">
        <v>109</v>
      </c>
      <c r="J42" s="27" t="s">
        <v>1021</v>
      </c>
      <c r="K42" s="1">
        <f t="shared" si="0"/>
        <v>44</v>
      </c>
      <c r="L42" s="1" t="str">
        <f t="shared" si="1"/>
        <v>2C</v>
      </c>
      <c r="M42" s="1" t="str">
        <f t="shared" si="2"/>
        <v>0x002C</v>
      </c>
    </row>
    <row r="43" spans="1:13" ht="60.75" x14ac:dyDescent="0.25">
      <c r="A43" s="5" t="s">
        <v>110</v>
      </c>
      <c r="B43" s="5" t="s">
        <v>10</v>
      </c>
      <c r="C43" s="5">
        <v>46</v>
      </c>
      <c r="D43" s="5" t="s">
        <v>1184</v>
      </c>
      <c r="E43" s="5">
        <v>1</v>
      </c>
      <c r="F43" s="6" t="s">
        <v>635</v>
      </c>
      <c r="G43" s="10" t="s">
        <v>99</v>
      </c>
      <c r="H43" s="10" t="s">
        <v>100</v>
      </c>
      <c r="I43" s="10" t="s">
        <v>101</v>
      </c>
      <c r="J43" s="27" t="s">
        <v>1020</v>
      </c>
      <c r="K43" s="1">
        <f t="shared" si="0"/>
        <v>45</v>
      </c>
      <c r="L43" s="1" t="str">
        <f t="shared" si="1"/>
        <v>2D</v>
      </c>
      <c r="M43" s="1" t="str">
        <f t="shared" si="2"/>
        <v>0x002D</v>
      </c>
    </row>
    <row r="44" spans="1:13" ht="40.5" x14ac:dyDescent="0.25">
      <c r="A44" s="5" t="s">
        <v>111</v>
      </c>
      <c r="B44" s="5" t="s">
        <v>10</v>
      </c>
      <c r="C44" s="5">
        <v>47</v>
      </c>
      <c r="D44" s="5" t="s">
        <v>1185</v>
      </c>
      <c r="E44" s="5">
        <v>2</v>
      </c>
      <c r="F44" s="6" t="s">
        <v>642</v>
      </c>
      <c r="G44" s="6" t="s">
        <v>112</v>
      </c>
      <c r="H44" s="10" t="s">
        <v>113</v>
      </c>
      <c r="I44" s="10" t="s">
        <v>114</v>
      </c>
      <c r="J44" s="27" t="s">
        <v>1022</v>
      </c>
      <c r="K44" s="1">
        <f t="shared" si="0"/>
        <v>46</v>
      </c>
      <c r="L44" s="1" t="str">
        <f t="shared" si="1"/>
        <v>2E</v>
      </c>
      <c r="M44" s="1" t="str">
        <f t="shared" si="2"/>
        <v>0x002E</v>
      </c>
    </row>
    <row r="45" spans="1:13" ht="60.75" x14ac:dyDescent="0.25">
      <c r="A45" s="5" t="s">
        <v>115</v>
      </c>
      <c r="B45" s="5" t="s">
        <v>10</v>
      </c>
      <c r="C45" s="5">
        <v>49</v>
      </c>
      <c r="D45" s="5" t="s">
        <v>1186</v>
      </c>
      <c r="E45" s="5">
        <v>1</v>
      </c>
      <c r="F45" s="6" t="s">
        <v>791</v>
      </c>
      <c r="G45" s="10" t="s">
        <v>99</v>
      </c>
      <c r="H45" s="10" t="s">
        <v>100</v>
      </c>
      <c r="I45" s="10" t="s">
        <v>101</v>
      </c>
      <c r="J45" s="27" t="s">
        <v>1020</v>
      </c>
      <c r="K45" s="1">
        <f t="shared" si="0"/>
        <v>48</v>
      </c>
      <c r="L45" s="1" t="str">
        <f t="shared" si="1"/>
        <v>30</v>
      </c>
      <c r="M45" s="1" t="str">
        <f t="shared" si="2"/>
        <v>0x0030</v>
      </c>
    </row>
    <row r="46" spans="1:13" ht="60.75" x14ac:dyDescent="0.25">
      <c r="A46" s="5" t="s">
        <v>116</v>
      </c>
      <c r="B46" s="5" t="s">
        <v>10</v>
      </c>
      <c r="C46" s="5">
        <v>50</v>
      </c>
      <c r="D46" s="5" t="s">
        <v>1187</v>
      </c>
      <c r="E46" s="5">
        <v>1</v>
      </c>
      <c r="F46" s="6" t="s">
        <v>791</v>
      </c>
      <c r="G46" s="10" t="s">
        <v>99</v>
      </c>
      <c r="H46" s="10" t="s">
        <v>100</v>
      </c>
      <c r="I46" s="10" t="s">
        <v>101</v>
      </c>
      <c r="J46" s="27" t="s">
        <v>1020</v>
      </c>
      <c r="K46" s="1">
        <f t="shared" si="0"/>
        <v>49</v>
      </c>
      <c r="L46" s="1" t="str">
        <f t="shared" si="1"/>
        <v>31</v>
      </c>
      <c r="M46" s="1" t="str">
        <f t="shared" si="2"/>
        <v>0x0031</v>
      </c>
    </row>
    <row r="47" spans="1:13" ht="60.75" x14ac:dyDescent="0.25">
      <c r="A47" s="5" t="s">
        <v>117</v>
      </c>
      <c r="B47" s="5" t="s">
        <v>10</v>
      </c>
      <c r="C47" s="5">
        <v>51</v>
      </c>
      <c r="D47" s="5" t="s">
        <v>1188</v>
      </c>
      <c r="E47" s="5">
        <v>1</v>
      </c>
      <c r="F47" s="6" t="s">
        <v>791</v>
      </c>
      <c r="G47" s="10" t="s">
        <v>99</v>
      </c>
      <c r="H47" s="10" t="s">
        <v>100</v>
      </c>
      <c r="I47" s="10" t="s">
        <v>101</v>
      </c>
      <c r="J47" s="27" t="s">
        <v>1020</v>
      </c>
      <c r="K47" s="1">
        <f t="shared" si="0"/>
        <v>50</v>
      </c>
      <c r="L47" s="1" t="str">
        <f t="shared" si="1"/>
        <v>32</v>
      </c>
      <c r="M47" s="1" t="str">
        <f t="shared" si="2"/>
        <v>0x0032</v>
      </c>
    </row>
    <row r="48" spans="1:13" ht="60.75" x14ac:dyDescent="0.25">
      <c r="A48" s="5" t="s">
        <v>118</v>
      </c>
      <c r="B48" s="5" t="s">
        <v>10</v>
      </c>
      <c r="C48" s="5">
        <v>52</v>
      </c>
      <c r="D48" s="5" t="s">
        <v>1189</v>
      </c>
      <c r="E48" s="5">
        <v>1</v>
      </c>
      <c r="F48" s="6" t="s">
        <v>791</v>
      </c>
      <c r="G48" s="10" t="s">
        <v>99</v>
      </c>
      <c r="H48" s="10" t="s">
        <v>100</v>
      </c>
      <c r="I48" s="10" t="s">
        <v>101</v>
      </c>
      <c r="J48" s="27" t="s">
        <v>1020</v>
      </c>
      <c r="K48" s="1">
        <f t="shared" si="0"/>
        <v>51</v>
      </c>
      <c r="L48" s="1" t="str">
        <f t="shared" si="1"/>
        <v>33</v>
      </c>
      <c r="M48" s="1" t="str">
        <f t="shared" si="2"/>
        <v>0x0033</v>
      </c>
    </row>
    <row r="49" spans="1:13" ht="81" x14ac:dyDescent="0.25">
      <c r="A49" s="5" t="s">
        <v>119</v>
      </c>
      <c r="B49" s="5" t="s">
        <v>10</v>
      </c>
      <c r="C49" s="5">
        <v>53</v>
      </c>
      <c r="D49" s="5" t="s">
        <v>1190</v>
      </c>
      <c r="E49" s="5">
        <v>1</v>
      </c>
      <c r="F49" s="6" t="s">
        <v>640</v>
      </c>
      <c r="G49" s="6" t="s">
        <v>95</v>
      </c>
      <c r="H49" s="10" t="s">
        <v>96</v>
      </c>
      <c r="I49" s="10" t="s">
        <v>97</v>
      </c>
      <c r="J49" s="27" t="s">
        <v>1019</v>
      </c>
      <c r="K49" s="1">
        <f t="shared" si="0"/>
        <v>52</v>
      </c>
      <c r="L49" s="1" t="str">
        <f t="shared" si="1"/>
        <v>34</v>
      </c>
      <c r="M49" s="1" t="str">
        <f t="shared" si="2"/>
        <v>0x0034</v>
      </c>
    </row>
    <row r="50" spans="1:13" ht="60.75" x14ac:dyDescent="0.25">
      <c r="A50" s="5" t="s">
        <v>120</v>
      </c>
      <c r="B50" s="5" t="s">
        <v>10</v>
      </c>
      <c r="C50" s="5">
        <v>54</v>
      </c>
      <c r="D50" s="5" t="s">
        <v>1191</v>
      </c>
      <c r="E50" s="5">
        <v>1</v>
      </c>
      <c r="F50" s="6" t="s">
        <v>641</v>
      </c>
      <c r="G50" s="6" t="s">
        <v>95</v>
      </c>
      <c r="H50" s="10" t="s">
        <v>96</v>
      </c>
      <c r="I50" s="10" t="s">
        <v>97</v>
      </c>
      <c r="J50" s="27" t="s">
        <v>1019</v>
      </c>
      <c r="K50" s="1">
        <f t="shared" si="0"/>
        <v>53</v>
      </c>
      <c r="L50" s="1" t="str">
        <f t="shared" si="1"/>
        <v>35</v>
      </c>
      <c r="M50" s="1" t="str">
        <f t="shared" si="2"/>
        <v>0x0035</v>
      </c>
    </row>
    <row r="51" spans="1:13" ht="60.75" x14ac:dyDescent="0.25">
      <c r="A51" s="5" t="s">
        <v>121</v>
      </c>
      <c r="B51" s="5" t="s">
        <v>10</v>
      </c>
      <c r="C51" s="5">
        <v>55</v>
      </c>
      <c r="D51" s="5" t="s">
        <v>1192</v>
      </c>
      <c r="E51" s="5">
        <v>1</v>
      </c>
      <c r="F51" s="6" t="s">
        <v>828</v>
      </c>
      <c r="G51" s="6" t="s">
        <v>85</v>
      </c>
      <c r="H51" s="10" t="s">
        <v>86</v>
      </c>
      <c r="I51" s="10" t="s">
        <v>87</v>
      </c>
      <c r="J51" s="27" t="s">
        <v>1017</v>
      </c>
      <c r="K51" s="1">
        <f t="shared" si="0"/>
        <v>54</v>
      </c>
      <c r="L51" s="1" t="str">
        <f t="shared" si="1"/>
        <v>36</v>
      </c>
      <c r="M51" s="1" t="str">
        <f t="shared" si="2"/>
        <v>0x0036</v>
      </c>
    </row>
    <row r="52" spans="1:13" x14ac:dyDescent="0.25">
      <c r="A52" s="5" t="s">
        <v>122</v>
      </c>
      <c r="B52" s="5" t="s">
        <v>10</v>
      </c>
      <c r="C52" s="5">
        <v>56</v>
      </c>
      <c r="D52" s="5" t="s">
        <v>1193</v>
      </c>
      <c r="E52" s="5">
        <v>1</v>
      </c>
      <c r="F52" s="6" t="s">
        <v>625</v>
      </c>
      <c r="G52" s="6" t="s">
        <v>123</v>
      </c>
      <c r="H52" s="10" t="s">
        <v>124</v>
      </c>
      <c r="I52" s="10" t="s">
        <v>125</v>
      </c>
      <c r="J52" s="27" t="s">
        <v>1023</v>
      </c>
      <c r="K52" s="1">
        <f t="shared" si="0"/>
        <v>55</v>
      </c>
      <c r="L52" s="1" t="str">
        <f t="shared" si="1"/>
        <v>37</v>
      </c>
      <c r="M52" s="1" t="str">
        <f t="shared" si="2"/>
        <v>0x0037</v>
      </c>
    </row>
    <row r="53" spans="1:13" ht="60.75" x14ac:dyDescent="0.25">
      <c r="A53" s="5" t="s">
        <v>126</v>
      </c>
      <c r="B53" s="5" t="s">
        <v>10</v>
      </c>
      <c r="C53" s="5">
        <v>57</v>
      </c>
      <c r="D53" s="5" t="s">
        <v>1194</v>
      </c>
      <c r="E53" s="5">
        <v>1</v>
      </c>
      <c r="F53" s="6" t="s">
        <v>633</v>
      </c>
      <c r="G53" s="10" t="s">
        <v>99</v>
      </c>
      <c r="H53" s="10" t="s">
        <v>100</v>
      </c>
      <c r="I53" s="10" t="s">
        <v>101</v>
      </c>
      <c r="J53" s="27" t="s">
        <v>1020</v>
      </c>
      <c r="K53" s="1">
        <f t="shared" si="0"/>
        <v>56</v>
      </c>
      <c r="L53" s="1" t="str">
        <f t="shared" si="1"/>
        <v>38</v>
      </c>
      <c r="M53" s="1" t="str">
        <f t="shared" si="2"/>
        <v>0x0038</v>
      </c>
    </row>
    <row r="54" spans="1:13" ht="60.75" x14ac:dyDescent="0.25">
      <c r="A54" s="5" t="s">
        <v>127</v>
      </c>
      <c r="B54" s="5" t="s">
        <v>10</v>
      </c>
      <c r="C54" s="5">
        <v>58</v>
      </c>
      <c r="D54" s="5" t="s">
        <v>1195</v>
      </c>
      <c r="E54" s="5">
        <v>1</v>
      </c>
      <c r="F54" s="6" t="s">
        <v>633</v>
      </c>
      <c r="G54" s="10" t="s">
        <v>99</v>
      </c>
      <c r="H54" s="10" t="s">
        <v>100</v>
      </c>
      <c r="I54" s="10" t="s">
        <v>101</v>
      </c>
      <c r="J54" s="27" t="s">
        <v>1020</v>
      </c>
      <c r="K54" s="1">
        <f t="shared" si="0"/>
        <v>57</v>
      </c>
      <c r="L54" s="1" t="str">
        <f t="shared" si="1"/>
        <v>39</v>
      </c>
      <c r="M54" s="1" t="str">
        <f t="shared" si="2"/>
        <v>0x0039</v>
      </c>
    </row>
    <row r="55" spans="1:13" ht="40.5" x14ac:dyDescent="0.25">
      <c r="A55" s="5" t="s">
        <v>128</v>
      </c>
      <c r="B55" s="5" t="s">
        <v>10</v>
      </c>
      <c r="C55" s="5">
        <v>59</v>
      </c>
      <c r="D55" s="5" t="s">
        <v>1196</v>
      </c>
      <c r="E55" s="5">
        <v>1</v>
      </c>
      <c r="F55" s="6" t="s">
        <v>622</v>
      </c>
      <c r="G55" s="10" t="s">
        <v>99</v>
      </c>
      <c r="H55" s="10" t="s">
        <v>100</v>
      </c>
      <c r="I55" s="10" t="s">
        <v>101</v>
      </c>
      <c r="J55" s="27" t="s">
        <v>1020</v>
      </c>
      <c r="K55" s="1">
        <f t="shared" si="0"/>
        <v>58</v>
      </c>
      <c r="L55" s="1" t="str">
        <f t="shared" si="1"/>
        <v>3A</v>
      </c>
      <c r="M55" s="1" t="str">
        <f t="shared" si="2"/>
        <v>0x003A</v>
      </c>
    </row>
    <row r="56" spans="1:13" ht="40.5" x14ac:dyDescent="0.25">
      <c r="A56" s="5" t="s">
        <v>129</v>
      </c>
      <c r="B56" s="5" t="s">
        <v>10</v>
      </c>
      <c r="C56" s="5">
        <v>60</v>
      </c>
      <c r="D56" s="5" t="s">
        <v>1197</v>
      </c>
      <c r="E56" s="5">
        <v>1</v>
      </c>
      <c r="F56" s="6" t="s">
        <v>636</v>
      </c>
      <c r="G56" s="10" t="s">
        <v>99</v>
      </c>
      <c r="H56" s="10" t="s">
        <v>100</v>
      </c>
      <c r="I56" s="10" t="s">
        <v>101</v>
      </c>
      <c r="J56" s="27" t="s">
        <v>1020</v>
      </c>
      <c r="K56" s="1">
        <f t="shared" si="0"/>
        <v>59</v>
      </c>
      <c r="L56" s="1" t="str">
        <f t="shared" si="1"/>
        <v>3B</v>
      </c>
      <c r="M56" s="1" t="str">
        <f t="shared" si="2"/>
        <v>0x003B</v>
      </c>
    </row>
    <row r="57" spans="1:13" ht="60.75" x14ac:dyDescent="0.25">
      <c r="A57" s="5" t="s">
        <v>130</v>
      </c>
      <c r="B57" s="5" t="s">
        <v>10</v>
      </c>
      <c r="C57" s="5">
        <v>61</v>
      </c>
      <c r="D57" s="5" t="s">
        <v>1198</v>
      </c>
      <c r="E57" s="5">
        <v>1</v>
      </c>
      <c r="F57" s="6" t="s">
        <v>637</v>
      </c>
      <c r="G57" s="10" t="s">
        <v>95</v>
      </c>
      <c r="H57" s="10" t="s">
        <v>96</v>
      </c>
      <c r="I57" s="10" t="s">
        <v>97</v>
      </c>
      <c r="J57" s="27" t="s">
        <v>1019</v>
      </c>
      <c r="K57" s="1">
        <f t="shared" si="0"/>
        <v>60</v>
      </c>
      <c r="L57" s="1" t="str">
        <f t="shared" si="1"/>
        <v>3C</v>
      </c>
      <c r="M57" s="1" t="str">
        <f t="shared" si="2"/>
        <v>0x003C</v>
      </c>
    </row>
    <row r="58" spans="1:13" ht="40.5" x14ac:dyDescent="0.25">
      <c r="A58" s="5" t="s">
        <v>131</v>
      </c>
      <c r="B58" s="5" t="s">
        <v>10</v>
      </c>
      <c r="C58" s="5">
        <v>62</v>
      </c>
      <c r="D58" s="5" t="s">
        <v>1199</v>
      </c>
      <c r="E58" s="5">
        <v>1</v>
      </c>
      <c r="F58" s="6" t="s">
        <v>638</v>
      </c>
      <c r="G58" s="6" t="s">
        <v>107</v>
      </c>
      <c r="H58" s="10" t="s">
        <v>108</v>
      </c>
      <c r="I58" s="10" t="s">
        <v>109</v>
      </c>
      <c r="J58" s="27" t="s">
        <v>1021</v>
      </c>
      <c r="K58" s="1">
        <f t="shared" si="0"/>
        <v>61</v>
      </c>
      <c r="L58" s="1" t="str">
        <f t="shared" si="1"/>
        <v>3D</v>
      </c>
      <c r="M58" s="1" t="str">
        <f t="shared" si="2"/>
        <v>0x003D</v>
      </c>
    </row>
    <row r="59" spans="1:13" ht="60.75" x14ac:dyDescent="0.3">
      <c r="A59" s="5" t="s">
        <v>132</v>
      </c>
      <c r="B59" s="5" t="s">
        <v>10</v>
      </c>
      <c r="C59" s="5">
        <v>63</v>
      </c>
      <c r="D59" s="5" t="s">
        <v>1200</v>
      </c>
      <c r="E59" s="5">
        <v>1</v>
      </c>
      <c r="F59" s="13" t="s">
        <v>959</v>
      </c>
      <c r="G59" s="6" t="s">
        <v>95</v>
      </c>
      <c r="H59" s="10" t="s">
        <v>96</v>
      </c>
      <c r="I59" s="10" t="s">
        <v>97</v>
      </c>
      <c r="J59" s="27" t="s">
        <v>1019</v>
      </c>
      <c r="K59" s="1">
        <f t="shared" si="0"/>
        <v>62</v>
      </c>
      <c r="L59" s="1" t="str">
        <f t="shared" si="1"/>
        <v>3E</v>
      </c>
      <c r="M59" s="1" t="str">
        <f t="shared" si="2"/>
        <v>0x003E</v>
      </c>
    </row>
    <row r="60" spans="1:13" x14ac:dyDescent="0.25">
      <c r="A60" s="5" t="s">
        <v>133</v>
      </c>
      <c r="B60" s="5" t="s">
        <v>10</v>
      </c>
      <c r="C60" s="5">
        <v>64</v>
      </c>
      <c r="D60" s="5" t="s">
        <v>1201</v>
      </c>
      <c r="E60" s="5">
        <v>1</v>
      </c>
      <c r="F60" s="6" t="s">
        <v>133</v>
      </c>
      <c r="G60" s="6" t="s">
        <v>134</v>
      </c>
      <c r="H60" s="10" t="s">
        <v>96</v>
      </c>
      <c r="I60" s="10" t="s">
        <v>135</v>
      </c>
      <c r="J60" s="27" t="s">
        <v>1024</v>
      </c>
      <c r="K60" s="1">
        <f t="shared" si="0"/>
        <v>63</v>
      </c>
      <c r="L60" s="1" t="str">
        <f t="shared" si="1"/>
        <v>3F</v>
      </c>
      <c r="M60" s="1" t="str">
        <f t="shared" si="2"/>
        <v>0x003F</v>
      </c>
    </row>
    <row r="61" spans="1:13" ht="40.5" x14ac:dyDescent="0.25">
      <c r="A61" s="5" t="s">
        <v>136</v>
      </c>
      <c r="B61" s="5" t="s">
        <v>10</v>
      </c>
      <c r="C61" s="5">
        <v>65</v>
      </c>
      <c r="D61" s="5" t="s">
        <v>1202</v>
      </c>
      <c r="E61" s="5">
        <v>1</v>
      </c>
      <c r="F61" s="6" t="s">
        <v>643</v>
      </c>
      <c r="G61" s="6" t="s">
        <v>137</v>
      </c>
      <c r="H61" s="6" t="s">
        <v>138</v>
      </c>
      <c r="I61" s="6" t="s">
        <v>139</v>
      </c>
      <c r="J61" s="27" t="s">
        <v>1025</v>
      </c>
      <c r="K61" s="1">
        <f t="shared" si="0"/>
        <v>64</v>
      </c>
      <c r="L61" s="1" t="str">
        <f t="shared" si="1"/>
        <v>40</v>
      </c>
      <c r="M61" s="1" t="str">
        <f t="shared" si="2"/>
        <v>0x0040</v>
      </c>
    </row>
    <row r="62" spans="1:13" ht="40.5" x14ac:dyDescent="0.25">
      <c r="A62" s="5" t="s">
        <v>140</v>
      </c>
      <c r="B62" s="5" t="s">
        <v>10</v>
      </c>
      <c r="C62" s="5">
        <v>66</v>
      </c>
      <c r="D62" s="5" t="s">
        <v>1203</v>
      </c>
      <c r="E62" s="5">
        <v>1</v>
      </c>
      <c r="F62" s="6" t="s">
        <v>644</v>
      </c>
      <c r="G62" s="6" t="s">
        <v>95</v>
      </c>
      <c r="H62" s="10" t="s">
        <v>96</v>
      </c>
      <c r="I62" s="10" t="s">
        <v>97</v>
      </c>
      <c r="J62" s="27" t="s">
        <v>1019</v>
      </c>
      <c r="K62" s="1">
        <f t="shared" si="0"/>
        <v>65</v>
      </c>
      <c r="L62" s="1" t="str">
        <f t="shared" si="1"/>
        <v>41</v>
      </c>
      <c r="M62" s="1" t="str">
        <f t="shared" si="2"/>
        <v>0x0041</v>
      </c>
    </row>
    <row r="63" spans="1:13" ht="60.75" x14ac:dyDescent="0.25">
      <c r="A63" s="5" t="s">
        <v>141</v>
      </c>
      <c r="B63" s="5" t="s">
        <v>10</v>
      </c>
      <c r="C63" s="5">
        <v>67</v>
      </c>
      <c r="D63" s="5" t="s">
        <v>1204</v>
      </c>
      <c r="E63" s="5">
        <v>1</v>
      </c>
      <c r="F63" s="6" t="s">
        <v>793</v>
      </c>
      <c r="G63" s="10" t="s">
        <v>99</v>
      </c>
      <c r="H63" s="10" t="s">
        <v>100</v>
      </c>
      <c r="I63" s="10" t="s">
        <v>101</v>
      </c>
      <c r="J63" s="27" t="s">
        <v>1020</v>
      </c>
      <c r="K63" s="1">
        <f t="shared" si="0"/>
        <v>66</v>
      </c>
      <c r="L63" s="1" t="str">
        <f t="shared" si="1"/>
        <v>42</v>
      </c>
      <c r="M63" s="1" t="str">
        <f t="shared" si="2"/>
        <v>0x0042</v>
      </c>
    </row>
    <row r="64" spans="1:13" ht="60.75" x14ac:dyDescent="0.25">
      <c r="A64" s="5" t="s">
        <v>142</v>
      </c>
      <c r="B64" s="5" t="s">
        <v>10</v>
      </c>
      <c r="C64" s="5">
        <v>68</v>
      </c>
      <c r="D64" s="5" t="s">
        <v>1205</v>
      </c>
      <c r="E64" s="5">
        <v>1</v>
      </c>
      <c r="F64" s="6" t="s">
        <v>793</v>
      </c>
      <c r="G64" s="10" t="s">
        <v>99</v>
      </c>
      <c r="H64" s="10" t="s">
        <v>100</v>
      </c>
      <c r="I64" s="10" t="s">
        <v>101</v>
      </c>
      <c r="J64" s="27" t="s">
        <v>1020</v>
      </c>
      <c r="K64" s="1">
        <f t="shared" si="0"/>
        <v>67</v>
      </c>
      <c r="L64" s="1" t="str">
        <f t="shared" si="1"/>
        <v>43</v>
      </c>
      <c r="M64" s="1" t="str">
        <f t="shared" si="2"/>
        <v>0x0043</v>
      </c>
    </row>
    <row r="65" spans="1:13" ht="60.75" x14ac:dyDescent="0.25">
      <c r="A65" s="5" t="s">
        <v>143</v>
      </c>
      <c r="B65" s="5" t="s">
        <v>10</v>
      </c>
      <c r="C65" s="5">
        <v>69</v>
      </c>
      <c r="D65" s="5" t="s">
        <v>1206</v>
      </c>
      <c r="E65" s="5">
        <v>1</v>
      </c>
      <c r="F65" s="6" t="s">
        <v>793</v>
      </c>
      <c r="G65" s="10" t="s">
        <v>99</v>
      </c>
      <c r="H65" s="10" t="s">
        <v>100</v>
      </c>
      <c r="I65" s="10" t="s">
        <v>101</v>
      </c>
      <c r="J65" s="27" t="s">
        <v>1020</v>
      </c>
      <c r="K65" s="1">
        <f t="shared" si="0"/>
        <v>68</v>
      </c>
      <c r="L65" s="1" t="str">
        <f t="shared" si="1"/>
        <v>44</v>
      </c>
      <c r="M65" s="1" t="str">
        <f t="shared" si="2"/>
        <v>0x0044</v>
      </c>
    </row>
    <row r="66" spans="1:13" ht="60.75" x14ac:dyDescent="0.25">
      <c r="A66" s="5" t="s">
        <v>144</v>
      </c>
      <c r="B66" s="5" t="s">
        <v>10</v>
      </c>
      <c r="C66" s="5">
        <v>70</v>
      </c>
      <c r="D66" s="5" t="s">
        <v>1207</v>
      </c>
      <c r="E66" s="5">
        <v>1</v>
      </c>
      <c r="F66" s="6" t="s">
        <v>793</v>
      </c>
      <c r="G66" s="10" t="s">
        <v>99</v>
      </c>
      <c r="H66" s="10" t="s">
        <v>100</v>
      </c>
      <c r="I66" s="10" t="s">
        <v>101</v>
      </c>
      <c r="J66" s="27" t="s">
        <v>1020</v>
      </c>
      <c r="K66" s="1">
        <f t="shared" si="0"/>
        <v>69</v>
      </c>
      <c r="L66" s="1" t="str">
        <f t="shared" si="1"/>
        <v>45</v>
      </c>
      <c r="M66" s="1" t="str">
        <f t="shared" si="2"/>
        <v>0x0045</v>
      </c>
    </row>
    <row r="67" spans="1:13" ht="60.75" x14ac:dyDescent="0.25">
      <c r="A67" s="5" t="s">
        <v>145</v>
      </c>
      <c r="B67" s="5" t="s">
        <v>10</v>
      </c>
      <c r="C67" s="5">
        <v>71</v>
      </c>
      <c r="D67" s="5" t="s">
        <v>1208</v>
      </c>
      <c r="E67" s="5">
        <v>1</v>
      </c>
      <c r="F67" s="6" t="s">
        <v>793</v>
      </c>
      <c r="G67" s="10" t="s">
        <v>99</v>
      </c>
      <c r="H67" s="10" t="s">
        <v>100</v>
      </c>
      <c r="I67" s="10" t="s">
        <v>101</v>
      </c>
      <c r="J67" s="27" t="s">
        <v>1020</v>
      </c>
      <c r="K67" s="1">
        <f t="shared" si="0"/>
        <v>70</v>
      </c>
      <c r="L67" s="1" t="str">
        <f t="shared" si="1"/>
        <v>46</v>
      </c>
      <c r="M67" s="1" t="str">
        <f t="shared" si="2"/>
        <v>0x0046</v>
      </c>
    </row>
    <row r="68" spans="1:13" ht="60.75" x14ac:dyDescent="0.25">
      <c r="A68" s="5" t="s">
        <v>146</v>
      </c>
      <c r="B68" s="5" t="s">
        <v>10</v>
      </c>
      <c r="C68" s="5">
        <v>72</v>
      </c>
      <c r="D68" s="5" t="s">
        <v>1209</v>
      </c>
      <c r="E68" s="5">
        <v>1</v>
      </c>
      <c r="F68" s="6" t="s">
        <v>793</v>
      </c>
      <c r="G68" s="10" t="s">
        <v>99</v>
      </c>
      <c r="H68" s="10" t="s">
        <v>100</v>
      </c>
      <c r="I68" s="10" t="s">
        <v>101</v>
      </c>
      <c r="J68" s="27" t="s">
        <v>1020</v>
      </c>
      <c r="K68" s="1">
        <f t="shared" si="0"/>
        <v>71</v>
      </c>
      <c r="L68" s="1" t="str">
        <f t="shared" si="1"/>
        <v>47</v>
      </c>
      <c r="M68" s="1" t="str">
        <f t="shared" si="2"/>
        <v>0x0047</v>
      </c>
    </row>
    <row r="69" spans="1:13" ht="60.75" x14ac:dyDescent="0.25">
      <c r="A69" s="5" t="s">
        <v>147</v>
      </c>
      <c r="B69" s="5" t="s">
        <v>10</v>
      </c>
      <c r="C69" s="5">
        <v>73</v>
      </c>
      <c r="D69" s="5" t="s">
        <v>1210</v>
      </c>
      <c r="E69" s="5">
        <v>1</v>
      </c>
      <c r="F69" s="6" t="s">
        <v>793</v>
      </c>
      <c r="G69" s="10" t="s">
        <v>99</v>
      </c>
      <c r="H69" s="10" t="s">
        <v>100</v>
      </c>
      <c r="I69" s="10" t="s">
        <v>101</v>
      </c>
      <c r="J69" s="27" t="s">
        <v>1020</v>
      </c>
      <c r="K69" s="1">
        <f t="shared" si="0"/>
        <v>72</v>
      </c>
      <c r="L69" s="1" t="str">
        <f t="shared" si="1"/>
        <v>48</v>
      </c>
      <c r="M69" s="1" t="str">
        <f t="shared" si="2"/>
        <v>0x0048</v>
      </c>
    </row>
    <row r="70" spans="1:13" ht="60.75" x14ac:dyDescent="0.25">
      <c r="A70" s="5" t="s">
        <v>148</v>
      </c>
      <c r="B70" s="5" t="s">
        <v>10</v>
      </c>
      <c r="C70" s="5">
        <v>74</v>
      </c>
      <c r="D70" s="5" t="s">
        <v>1211</v>
      </c>
      <c r="E70" s="5">
        <v>1</v>
      </c>
      <c r="F70" s="6" t="s">
        <v>793</v>
      </c>
      <c r="G70" s="10" t="s">
        <v>99</v>
      </c>
      <c r="H70" s="10" t="s">
        <v>100</v>
      </c>
      <c r="I70" s="10" t="s">
        <v>101</v>
      </c>
      <c r="J70" s="27" t="s">
        <v>1020</v>
      </c>
      <c r="K70" s="1">
        <f t="shared" si="0"/>
        <v>73</v>
      </c>
      <c r="L70" s="1" t="str">
        <f t="shared" si="1"/>
        <v>49</v>
      </c>
      <c r="M70" s="1" t="str">
        <f t="shared" si="2"/>
        <v>0x0049</v>
      </c>
    </row>
    <row r="71" spans="1:13" ht="40.5" x14ac:dyDescent="0.25">
      <c r="A71" s="5" t="s">
        <v>149</v>
      </c>
      <c r="B71" s="5" t="s">
        <v>10</v>
      </c>
      <c r="C71" s="5">
        <v>75</v>
      </c>
      <c r="D71" s="5" t="s">
        <v>1212</v>
      </c>
      <c r="E71" s="5">
        <v>1</v>
      </c>
      <c r="F71" s="6" t="s">
        <v>816</v>
      </c>
      <c r="G71" s="6" t="s">
        <v>150</v>
      </c>
      <c r="H71" s="10" t="s">
        <v>151</v>
      </c>
      <c r="I71" s="10" t="s">
        <v>152</v>
      </c>
      <c r="J71" s="27" t="s">
        <v>1026</v>
      </c>
      <c r="K71" s="1">
        <f t="shared" ref="K71:K134" si="3">C71-1</f>
        <v>74</v>
      </c>
      <c r="L71" s="1" t="str">
        <f t="shared" ref="L71:L134" si="4">DEC2HEX(K71)</f>
        <v>4A</v>
      </c>
      <c r="M71" s="1" t="str">
        <f t="shared" ref="M71:M134" si="5">_xlfn.CONCAT("0x00", L71)</f>
        <v>0x004A</v>
      </c>
    </row>
    <row r="72" spans="1:13" ht="40.5" x14ac:dyDescent="0.25">
      <c r="A72" s="5" t="s">
        <v>153</v>
      </c>
      <c r="B72" s="5" t="s">
        <v>10</v>
      </c>
      <c r="C72" s="5">
        <v>76</v>
      </c>
      <c r="D72" s="5" t="s">
        <v>1213</v>
      </c>
      <c r="E72" s="5">
        <v>1</v>
      </c>
      <c r="F72" s="6" t="s">
        <v>819</v>
      </c>
      <c r="G72" s="6" t="s">
        <v>107</v>
      </c>
      <c r="H72" s="10" t="s">
        <v>108</v>
      </c>
      <c r="I72" s="10" t="s">
        <v>109</v>
      </c>
      <c r="J72" s="27" t="s">
        <v>1021</v>
      </c>
      <c r="K72" s="1">
        <f t="shared" si="3"/>
        <v>75</v>
      </c>
      <c r="L72" s="1" t="str">
        <f t="shared" si="4"/>
        <v>4B</v>
      </c>
      <c r="M72" s="1" t="str">
        <f t="shared" si="5"/>
        <v>0x004B</v>
      </c>
    </row>
    <row r="73" spans="1:13" ht="40.5" x14ac:dyDescent="0.25">
      <c r="A73" s="5" t="s">
        <v>154</v>
      </c>
      <c r="B73" s="5" t="s">
        <v>10</v>
      </c>
      <c r="C73" s="5">
        <v>77</v>
      </c>
      <c r="D73" s="5" t="s">
        <v>1214</v>
      </c>
      <c r="E73" s="5">
        <v>1</v>
      </c>
      <c r="F73" s="6" t="s">
        <v>820</v>
      </c>
      <c r="G73" s="6" t="s">
        <v>107</v>
      </c>
      <c r="H73" s="10" t="s">
        <v>108</v>
      </c>
      <c r="I73" s="10" t="s">
        <v>109</v>
      </c>
      <c r="J73" s="27" t="s">
        <v>1021</v>
      </c>
      <c r="K73" s="1">
        <f t="shared" si="3"/>
        <v>76</v>
      </c>
      <c r="L73" s="1" t="str">
        <f t="shared" si="4"/>
        <v>4C</v>
      </c>
      <c r="M73" s="1" t="str">
        <f t="shared" si="5"/>
        <v>0x004C</v>
      </c>
    </row>
    <row r="74" spans="1:13" ht="40.5" x14ac:dyDescent="0.25">
      <c r="A74" s="5" t="s">
        <v>155</v>
      </c>
      <c r="B74" s="5" t="s">
        <v>10</v>
      </c>
      <c r="C74" s="5">
        <v>78</v>
      </c>
      <c r="D74" s="5" t="s">
        <v>1215</v>
      </c>
      <c r="E74" s="5">
        <v>1</v>
      </c>
      <c r="F74" s="6" t="s">
        <v>155</v>
      </c>
      <c r="G74" s="6" t="s">
        <v>150</v>
      </c>
      <c r="H74" s="10" t="s">
        <v>151</v>
      </c>
      <c r="I74" s="10" t="s">
        <v>152</v>
      </c>
      <c r="J74" s="27" t="s">
        <v>1026</v>
      </c>
      <c r="K74" s="1">
        <f t="shared" si="3"/>
        <v>77</v>
      </c>
      <c r="L74" s="1" t="str">
        <f t="shared" si="4"/>
        <v>4D</v>
      </c>
      <c r="M74" s="1" t="str">
        <f t="shared" si="5"/>
        <v>0x004D</v>
      </c>
    </row>
    <row r="75" spans="1:13" ht="40.5" x14ac:dyDescent="0.25">
      <c r="A75" s="5" t="s">
        <v>156</v>
      </c>
      <c r="B75" s="5" t="s">
        <v>10</v>
      </c>
      <c r="C75" s="5">
        <v>79</v>
      </c>
      <c r="D75" s="5" t="s">
        <v>1216</v>
      </c>
      <c r="E75" s="5">
        <v>1</v>
      </c>
      <c r="F75" s="6" t="s">
        <v>156</v>
      </c>
      <c r="G75" s="6" t="s">
        <v>150</v>
      </c>
      <c r="H75" s="10" t="s">
        <v>151</v>
      </c>
      <c r="I75" s="10" t="s">
        <v>152</v>
      </c>
      <c r="J75" s="27" t="s">
        <v>1026</v>
      </c>
      <c r="K75" s="1">
        <f t="shared" si="3"/>
        <v>78</v>
      </c>
      <c r="L75" s="1" t="str">
        <f t="shared" si="4"/>
        <v>4E</v>
      </c>
      <c r="M75" s="1" t="str">
        <f t="shared" si="5"/>
        <v>0x004E</v>
      </c>
    </row>
    <row r="76" spans="1:13" ht="60.75" x14ac:dyDescent="0.25">
      <c r="A76" s="5" t="s">
        <v>157</v>
      </c>
      <c r="B76" s="5" t="s">
        <v>10</v>
      </c>
      <c r="C76" s="5">
        <v>80</v>
      </c>
      <c r="D76" s="5" t="s">
        <v>1217</v>
      </c>
      <c r="E76" s="5">
        <v>1</v>
      </c>
      <c r="F76" s="6" t="s">
        <v>663</v>
      </c>
      <c r="G76" s="6" t="s">
        <v>158</v>
      </c>
      <c r="H76" s="10" t="s">
        <v>159</v>
      </c>
      <c r="I76" s="10" t="s">
        <v>160</v>
      </c>
      <c r="J76" s="27" t="s">
        <v>1027</v>
      </c>
      <c r="K76" s="1">
        <f t="shared" si="3"/>
        <v>79</v>
      </c>
      <c r="L76" s="1" t="str">
        <f t="shared" si="4"/>
        <v>4F</v>
      </c>
      <c r="M76" s="1" t="str">
        <f t="shared" si="5"/>
        <v>0x004F</v>
      </c>
    </row>
    <row r="77" spans="1:13" ht="60.75" x14ac:dyDescent="0.25">
      <c r="A77" s="5" t="s">
        <v>161</v>
      </c>
      <c r="B77" s="5" t="s">
        <v>10</v>
      </c>
      <c r="C77" s="5">
        <v>81</v>
      </c>
      <c r="D77" s="5" t="s">
        <v>1218</v>
      </c>
      <c r="E77" s="5">
        <v>1</v>
      </c>
      <c r="F77" s="6" t="s">
        <v>725</v>
      </c>
      <c r="G77" s="10" t="s">
        <v>95</v>
      </c>
      <c r="H77" s="10" t="s">
        <v>96</v>
      </c>
      <c r="I77" s="10" t="s">
        <v>97</v>
      </c>
      <c r="J77" s="27" t="s">
        <v>1019</v>
      </c>
      <c r="K77" s="1">
        <f t="shared" si="3"/>
        <v>80</v>
      </c>
      <c r="L77" s="1" t="str">
        <f t="shared" si="4"/>
        <v>50</v>
      </c>
      <c r="M77" s="1" t="str">
        <f t="shared" si="5"/>
        <v>0x0050</v>
      </c>
    </row>
    <row r="78" spans="1:13" ht="40.5" x14ac:dyDescent="0.25">
      <c r="A78" s="5" t="s">
        <v>162</v>
      </c>
      <c r="B78" s="5" t="s">
        <v>10</v>
      </c>
      <c r="C78" s="5">
        <v>82</v>
      </c>
      <c r="D78" s="5" t="s">
        <v>1219</v>
      </c>
      <c r="E78" s="5">
        <v>1</v>
      </c>
      <c r="F78" s="6" t="s">
        <v>727</v>
      </c>
      <c r="G78" s="6" t="s">
        <v>163</v>
      </c>
      <c r="H78" s="10" t="s">
        <v>96</v>
      </c>
      <c r="I78" s="10" t="s">
        <v>164</v>
      </c>
      <c r="J78" s="27" t="s">
        <v>1028</v>
      </c>
      <c r="K78" s="1">
        <f t="shared" si="3"/>
        <v>81</v>
      </c>
      <c r="L78" s="1" t="str">
        <f t="shared" si="4"/>
        <v>51</v>
      </c>
      <c r="M78" s="1" t="str">
        <f t="shared" si="5"/>
        <v>0x0051</v>
      </c>
    </row>
    <row r="79" spans="1:13" ht="40.5" x14ac:dyDescent="0.25">
      <c r="A79" s="5" t="s">
        <v>165</v>
      </c>
      <c r="B79" s="5" t="s">
        <v>10</v>
      </c>
      <c r="C79" s="5">
        <v>83</v>
      </c>
      <c r="D79" s="5" t="s">
        <v>1220</v>
      </c>
      <c r="E79" s="5">
        <v>1</v>
      </c>
      <c r="F79" s="6" t="s">
        <v>772</v>
      </c>
      <c r="G79" s="6" t="s">
        <v>166</v>
      </c>
      <c r="H79" s="10" t="s">
        <v>96</v>
      </c>
      <c r="I79" s="10" t="s">
        <v>167</v>
      </c>
      <c r="J79" s="27" t="s">
        <v>1029</v>
      </c>
      <c r="K79" s="1">
        <f t="shared" si="3"/>
        <v>82</v>
      </c>
      <c r="L79" s="1" t="str">
        <f t="shared" si="4"/>
        <v>52</v>
      </c>
      <c r="M79" s="1" t="str">
        <f t="shared" si="5"/>
        <v>0x0052</v>
      </c>
    </row>
    <row r="80" spans="1:13" ht="60.75" x14ac:dyDescent="0.25">
      <c r="A80" s="5" t="s">
        <v>168</v>
      </c>
      <c r="B80" s="5" t="s">
        <v>10</v>
      </c>
      <c r="C80" s="5">
        <v>84</v>
      </c>
      <c r="D80" s="5" t="s">
        <v>1221</v>
      </c>
      <c r="E80" s="5">
        <v>1</v>
      </c>
      <c r="F80" s="6" t="s">
        <v>714</v>
      </c>
      <c r="G80" s="6" t="s">
        <v>169</v>
      </c>
      <c r="H80" s="6" t="s">
        <v>170</v>
      </c>
      <c r="I80" s="6" t="s">
        <v>171</v>
      </c>
      <c r="J80" s="27" t="s">
        <v>1030</v>
      </c>
      <c r="K80" s="1">
        <f t="shared" si="3"/>
        <v>83</v>
      </c>
      <c r="L80" s="1" t="str">
        <f t="shared" si="4"/>
        <v>53</v>
      </c>
      <c r="M80" s="1" t="str">
        <f t="shared" si="5"/>
        <v>0x0053</v>
      </c>
    </row>
    <row r="81" spans="1:13" ht="40.5" x14ac:dyDescent="0.25">
      <c r="A81" s="5" t="s">
        <v>172</v>
      </c>
      <c r="B81" s="5" t="s">
        <v>10</v>
      </c>
      <c r="C81" s="5">
        <v>85</v>
      </c>
      <c r="D81" s="5" t="s">
        <v>1222</v>
      </c>
      <c r="E81" s="5">
        <v>1</v>
      </c>
      <c r="F81" s="6" t="s">
        <v>728</v>
      </c>
      <c r="G81" s="10" t="s">
        <v>173</v>
      </c>
      <c r="H81" s="10" t="s">
        <v>96</v>
      </c>
      <c r="I81" s="10" t="s">
        <v>174</v>
      </c>
      <c r="J81" s="27" t="s">
        <v>1031</v>
      </c>
      <c r="K81" s="1">
        <f t="shared" si="3"/>
        <v>84</v>
      </c>
      <c r="L81" s="1" t="str">
        <f t="shared" si="4"/>
        <v>54</v>
      </c>
      <c r="M81" s="1" t="str">
        <f t="shared" si="5"/>
        <v>0x0054</v>
      </c>
    </row>
    <row r="82" spans="1:13" ht="40.5" x14ac:dyDescent="0.25">
      <c r="A82" s="5" t="s">
        <v>827</v>
      </c>
      <c r="B82" s="5" t="s">
        <v>10</v>
      </c>
      <c r="C82" s="5">
        <v>86</v>
      </c>
      <c r="D82" s="5" t="s">
        <v>1223</v>
      </c>
      <c r="E82" s="5">
        <v>1</v>
      </c>
      <c r="F82" s="6" t="s">
        <v>839</v>
      </c>
      <c r="G82" s="6" t="s">
        <v>85</v>
      </c>
      <c r="H82" s="10" t="s">
        <v>86</v>
      </c>
      <c r="I82" s="10" t="s">
        <v>87</v>
      </c>
      <c r="J82" s="27" t="s">
        <v>1017</v>
      </c>
      <c r="K82" s="1">
        <f t="shared" si="3"/>
        <v>85</v>
      </c>
      <c r="L82" s="1" t="str">
        <f t="shared" si="4"/>
        <v>55</v>
      </c>
      <c r="M82" s="1" t="str">
        <f t="shared" si="5"/>
        <v>0x0055</v>
      </c>
    </row>
    <row r="83" spans="1:13" x14ac:dyDescent="0.25">
      <c r="A83" s="5" t="s">
        <v>196</v>
      </c>
      <c r="B83" s="5" t="s">
        <v>10</v>
      </c>
      <c r="C83" s="5">
        <v>87</v>
      </c>
      <c r="D83" s="5" t="s">
        <v>1224</v>
      </c>
      <c r="E83" s="5">
        <v>1</v>
      </c>
      <c r="F83" s="6" t="s">
        <v>838</v>
      </c>
      <c r="G83" s="8" t="s">
        <v>25</v>
      </c>
      <c r="H83" s="6" t="s">
        <v>26</v>
      </c>
      <c r="I83" s="6" t="s">
        <v>27</v>
      </c>
      <c r="J83" s="27" t="s">
        <v>1006</v>
      </c>
      <c r="K83" s="1">
        <f t="shared" si="3"/>
        <v>86</v>
      </c>
      <c r="L83" s="1" t="str">
        <f t="shared" si="4"/>
        <v>56</v>
      </c>
      <c r="M83" s="1" t="str">
        <f t="shared" si="5"/>
        <v>0x0056</v>
      </c>
    </row>
    <row r="84" spans="1:13" ht="40.5" x14ac:dyDescent="0.25">
      <c r="A84" s="5" t="s">
        <v>197</v>
      </c>
      <c r="B84" s="5" t="s">
        <v>10</v>
      </c>
      <c r="C84" s="5">
        <v>88</v>
      </c>
      <c r="D84" s="5" t="s">
        <v>1225</v>
      </c>
      <c r="E84" s="5">
        <v>1</v>
      </c>
      <c r="F84" s="6" t="s">
        <v>837</v>
      </c>
      <c r="G84" s="10" t="s">
        <v>30</v>
      </c>
      <c r="H84" s="10" t="s">
        <v>31</v>
      </c>
      <c r="I84" s="10" t="s">
        <v>32</v>
      </c>
      <c r="J84" s="27" t="s">
        <v>1008</v>
      </c>
      <c r="K84" s="1">
        <f t="shared" si="3"/>
        <v>87</v>
      </c>
      <c r="L84" s="1" t="str">
        <f t="shared" si="4"/>
        <v>57</v>
      </c>
      <c r="M84" s="1" t="str">
        <f t="shared" si="5"/>
        <v>0x0057</v>
      </c>
    </row>
    <row r="85" spans="1:13" x14ac:dyDescent="0.25">
      <c r="A85" s="5" t="s">
        <v>175</v>
      </c>
      <c r="B85" s="5" t="s">
        <v>10</v>
      </c>
      <c r="C85" s="5">
        <v>89</v>
      </c>
      <c r="D85" s="5" t="s">
        <v>1226</v>
      </c>
      <c r="E85" s="5">
        <v>2</v>
      </c>
      <c r="F85" s="6" t="s">
        <v>629</v>
      </c>
      <c r="G85" s="10" t="s">
        <v>176</v>
      </c>
      <c r="H85" s="10" t="s">
        <v>177</v>
      </c>
      <c r="I85" s="10" t="s">
        <v>178</v>
      </c>
      <c r="J85" s="27" t="s">
        <v>1032</v>
      </c>
      <c r="K85" s="1">
        <f t="shared" si="3"/>
        <v>88</v>
      </c>
      <c r="L85" s="1" t="str">
        <f t="shared" si="4"/>
        <v>58</v>
      </c>
      <c r="M85" s="1" t="str">
        <f t="shared" si="5"/>
        <v>0x0058</v>
      </c>
    </row>
    <row r="86" spans="1:13" x14ac:dyDescent="0.25">
      <c r="A86" s="5" t="s">
        <v>179</v>
      </c>
      <c r="B86" s="5" t="s">
        <v>10</v>
      </c>
      <c r="C86" s="5">
        <v>91</v>
      </c>
      <c r="D86" s="5" t="s">
        <v>1227</v>
      </c>
      <c r="E86" s="5">
        <v>2</v>
      </c>
      <c r="F86" s="6" t="s">
        <v>630</v>
      </c>
      <c r="G86" s="10" t="s">
        <v>176</v>
      </c>
      <c r="H86" s="10" t="s">
        <v>177</v>
      </c>
      <c r="I86" s="10" t="s">
        <v>178</v>
      </c>
      <c r="J86" s="27" t="s">
        <v>1032</v>
      </c>
      <c r="K86" s="1">
        <f t="shared" si="3"/>
        <v>90</v>
      </c>
      <c r="L86" s="1" t="str">
        <f t="shared" si="4"/>
        <v>5A</v>
      </c>
      <c r="M86" s="1" t="str">
        <f t="shared" si="5"/>
        <v>0x005A</v>
      </c>
    </row>
    <row r="87" spans="1:13" ht="40.5" x14ac:dyDescent="0.25">
      <c r="A87" s="5" t="s">
        <v>180</v>
      </c>
      <c r="B87" s="5" t="s">
        <v>10</v>
      </c>
      <c r="C87" s="5">
        <v>93</v>
      </c>
      <c r="D87" s="5" t="s">
        <v>1228</v>
      </c>
      <c r="E87" s="5">
        <v>1</v>
      </c>
      <c r="F87" s="6" t="s">
        <v>627</v>
      </c>
      <c r="G87" s="6" t="s">
        <v>181</v>
      </c>
      <c r="H87" s="10" t="s">
        <v>182</v>
      </c>
      <c r="I87" s="10" t="s">
        <v>183</v>
      </c>
      <c r="J87" s="27" t="s">
        <v>1033</v>
      </c>
      <c r="K87" s="1">
        <f t="shared" si="3"/>
        <v>92</v>
      </c>
      <c r="L87" s="1" t="str">
        <f t="shared" si="4"/>
        <v>5C</v>
      </c>
      <c r="M87" s="1" t="str">
        <f t="shared" si="5"/>
        <v>0x005C</v>
      </c>
    </row>
    <row r="88" spans="1:13" ht="40.5" x14ac:dyDescent="0.25">
      <c r="A88" s="5" t="s">
        <v>184</v>
      </c>
      <c r="B88" s="5" t="s">
        <v>10</v>
      </c>
      <c r="C88" s="5">
        <v>94</v>
      </c>
      <c r="D88" s="5" t="s">
        <v>1229</v>
      </c>
      <c r="E88" s="5">
        <v>1</v>
      </c>
      <c r="F88" s="6" t="s">
        <v>996</v>
      </c>
      <c r="G88" s="6" t="s">
        <v>185</v>
      </c>
      <c r="H88" s="6" t="s">
        <v>186</v>
      </c>
      <c r="I88" s="6" t="s">
        <v>187</v>
      </c>
      <c r="J88" s="27" t="s">
        <v>1034</v>
      </c>
      <c r="K88" s="1">
        <f t="shared" si="3"/>
        <v>93</v>
      </c>
      <c r="L88" s="1" t="str">
        <f t="shared" si="4"/>
        <v>5D</v>
      </c>
      <c r="M88" s="1" t="str">
        <f t="shared" si="5"/>
        <v>0x005D</v>
      </c>
    </row>
    <row r="89" spans="1:13" ht="40.5" x14ac:dyDescent="0.25">
      <c r="A89" s="5" t="s">
        <v>188</v>
      </c>
      <c r="B89" s="5" t="s">
        <v>10</v>
      </c>
      <c r="C89" s="5">
        <v>95</v>
      </c>
      <c r="D89" s="5" t="s">
        <v>1230</v>
      </c>
      <c r="E89" s="5">
        <v>1</v>
      </c>
      <c r="F89" s="6" t="s">
        <v>976</v>
      </c>
      <c r="G89" s="10" t="s">
        <v>189</v>
      </c>
      <c r="H89" s="10" t="s">
        <v>190</v>
      </c>
      <c r="I89" s="10" t="s">
        <v>191</v>
      </c>
      <c r="J89" s="27" t="s">
        <v>1035</v>
      </c>
      <c r="K89" s="1">
        <f t="shared" si="3"/>
        <v>94</v>
      </c>
      <c r="L89" s="1" t="str">
        <f t="shared" si="4"/>
        <v>5E</v>
      </c>
      <c r="M89" s="1" t="str">
        <f t="shared" si="5"/>
        <v>0x005E</v>
      </c>
    </row>
    <row r="90" spans="1:13" ht="101.25" x14ac:dyDescent="0.25">
      <c r="A90" s="5" t="s">
        <v>193</v>
      </c>
      <c r="B90" s="5" t="s">
        <v>10</v>
      </c>
      <c r="C90" s="5">
        <v>96</v>
      </c>
      <c r="D90" s="5" t="s">
        <v>1231</v>
      </c>
      <c r="E90" s="5">
        <v>1</v>
      </c>
      <c r="F90" s="6" t="s">
        <v>780</v>
      </c>
      <c r="G90" s="6" t="s">
        <v>867</v>
      </c>
      <c r="H90" s="6"/>
      <c r="I90" s="6"/>
      <c r="J90" s="29" t="s">
        <v>1036</v>
      </c>
      <c r="K90" s="1">
        <f t="shared" si="3"/>
        <v>95</v>
      </c>
      <c r="L90" s="1" t="str">
        <f t="shared" si="4"/>
        <v>5F</v>
      </c>
      <c r="M90" s="1" t="str">
        <f t="shared" si="5"/>
        <v>0x005F</v>
      </c>
    </row>
    <row r="91" spans="1:13" ht="101.25" x14ac:dyDescent="0.25">
      <c r="A91" s="5" t="s">
        <v>541</v>
      </c>
      <c r="B91" s="5" t="s">
        <v>10</v>
      </c>
      <c r="C91" s="5">
        <v>97</v>
      </c>
      <c r="D91" s="5" t="s">
        <v>1232</v>
      </c>
      <c r="E91" s="5">
        <v>1</v>
      </c>
      <c r="F91" s="6" t="s">
        <v>1141</v>
      </c>
      <c r="G91" s="6" t="s">
        <v>867</v>
      </c>
      <c r="H91" s="6"/>
      <c r="I91" s="6"/>
      <c r="J91" s="29" t="s">
        <v>1036</v>
      </c>
      <c r="K91" s="1">
        <f t="shared" si="3"/>
        <v>96</v>
      </c>
      <c r="L91" s="1" t="str">
        <f t="shared" si="4"/>
        <v>60</v>
      </c>
      <c r="M91" s="1" t="str">
        <f t="shared" si="5"/>
        <v>0x0060</v>
      </c>
    </row>
    <row r="92" spans="1:13" ht="324" x14ac:dyDescent="0.25">
      <c r="A92" s="5" t="s">
        <v>543</v>
      </c>
      <c r="B92" s="5" t="s">
        <v>10</v>
      </c>
      <c r="C92" s="5">
        <v>101</v>
      </c>
      <c r="D92" s="5" t="s">
        <v>1233</v>
      </c>
      <c r="E92" s="5">
        <v>1</v>
      </c>
      <c r="F92" s="5" t="s">
        <v>543</v>
      </c>
      <c r="G92" s="10" t="s">
        <v>982</v>
      </c>
      <c r="H92" s="10" t="s">
        <v>847</v>
      </c>
      <c r="I92" s="10"/>
      <c r="J92" s="28" t="s">
        <v>1037</v>
      </c>
      <c r="K92" s="1">
        <f t="shared" si="3"/>
        <v>100</v>
      </c>
      <c r="L92" s="1" t="str">
        <f t="shared" si="4"/>
        <v>64</v>
      </c>
      <c r="M92" s="1" t="str">
        <f t="shared" si="5"/>
        <v>0x0064</v>
      </c>
    </row>
    <row r="93" spans="1:13" ht="324" x14ac:dyDescent="0.25">
      <c r="A93" s="5" t="s">
        <v>544</v>
      </c>
      <c r="B93" s="5" t="s">
        <v>10</v>
      </c>
      <c r="C93" s="5">
        <v>102</v>
      </c>
      <c r="D93" s="5" t="s">
        <v>1234</v>
      </c>
      <c r="E93" s="5">
        <v>1</v>
      </c>
      <c r="F93" s="5" t="s">
        <v>544</v>
      </c>
      <c r="G93" s="10" t="s">
        <v>982</v>
      </c>
      <c r="H93" s="10" t="s">
        <v>847</v>
      </c>
      <c r="I93" s="10"/>
      <c r="J93" s="28" t="s">
        <v>1037</v>
      </c>
      <c r="K93" s="1">
        <f t="shared" si="3"/>
        <v>101</v>
      </c>
      <c r="L93" s="1" t="str">
        <f t="shared" si="4"/>
        <v>65</v>
      </c>
      <c r="M93" s="1" t="str">
        <f t="shared" si="5"/>
        <v>0x0065</v>
      </c>
    </row>
    <row r="94" spans="1:13" ht="324" x14ac:dyDescent="0.25">
      <c r="A94" s="5" t="s">
        <v>545</v>
      </c>
      <c r="B94" s="5" t="s">
        <v>10</v>
      </c>
      <c r="C94" s="5">
        <v>103</v>
      </c>
      <c r="D94" s="5" t="s">
        <v>1235</v>
      </c>
      <c r="E94" s="14">
        <v>1</v>
      </c>
      <c r="F94" s="5" t="s">
        <v>545</v>
      </c>
      <c r="G94" s="10" t="s">
        <v>982</v>
      </c>
      <c r="H94" s="10" t="s">
        <v>847</v>
      </c>
      <c r="I94" s="10"/>
      <c r="J94" s="28" t="s">
        <v>1037</v>
      </c>
      <c r="K94" s="1">
        <f t="shared" si="3"/>
        <v>102</v>
      </c>
      <c r="L94" s="1" t="str">
        <f t="shared" si="4"/>
        <v>66</v>
      </c>
      <c r="M94" s="1" t="str">
        <f t="shared" si="5"/>
        <v>0x0066</v>
      </c>
    </row>
    <row r="95" spans="1:13" ht="324" x14ac:dyDescent="0.25">
      <c r="A95" s="14" t="s">
        <v>546</v>
      </c>
      <c r="B95" s="5" t="s">
        <v>10</v>
      </c>
      <c r="C95" s="5">
        <v>104</v>
      </c>
      <c r="D95" s="5" t="s">
        <v>1236</v>
      </c>
      <c r="E95" s="15">
        <v>1</v>
      </c>
      <c r="F95" s="5" t="s">
        <v>546</v>
      </c>
      <c r="G95" s="10" t="s">
        <v>846</v>
      </c>
      <c r="H95" s="10" t="s">
        <v>847</v>
      </c>
      <c r="I95" s="6"/>
      <c r="J95" s="28" t="s">
        <v>1037</v>
      </c>
      <c r="K95" s="1">
        <f t="shared" si="3"/>
        <v>103</v>
      </c>
      <c r="L95" s="1" t="str">
        <f t="shared" si="4"/>
        <v>67</v>
      </c>
      <c r="M95" s="1" t="str">
        <f t="shared" si="5"/>
        <v>0x0067</v>
      </c>
    </row>
    <row r="96" spans="1:13" ht="324" x14ac:dyDescent="0.25">
      <c r="A96" s="15" t="s">
        <v>547</v>
      </c>
      <c r="B96" s="15" t="s">
        <v>10</v>
      </c>
      <c r="C96" s="15">
        <v>105</v>
      </c>
      <c r="D96" s="5" t="s">
        <v>1237</v>
      </c>
      <c r="E96" s="16">
        <v>1</v>
      </c>
      <c r="F96" s="5" t="s">
        <v>547</v>
      </c>
      <c r="G96" s="10" t="s">
        <v>982</v>
      </c>
      <c r="H96" s="10" t="s">
        <v>847</v>
      </c>
      <c r="I96" s="10"/>
      <c r="J96" s="28" t="s">
        <v>1037</v>
      </c>
      <c r="K96" s="1">
        <f t="shared" si="3"/>
        <v>104</v>
      </c>
      <c r="L96" s="1" t="str">
        <f t="shared" si="4"/>
        <v>68</v>
      </c>
      <c r="M96" s="1" t="str">
        <f t="shared" si="5"/>
        <v>0x0068</v>
      </c>
    </row>
    <row r="97" spans="1:13" ht="324" x14ac:dyDescent="0.25">
      <c r="A97" s="16" t="s">
        <v>548</v>
      </c>
      <c r="B97" s="15" t="s">
        <v>10</v>
      </c>
      <c r="C97" s="15">
        <v>106</v>
      </c>
      <c r="D97" s="5" t="s">
        <v>1238</v>
      </c>
      <c r="E97" s="15">
        <v>1</v>
      </c>
      <c r="F97" s="5" t="s">
        <v>548</v>
      </c>
      <c r="G97" s="10" t="s">
        <v>982</v>
      </c>
      <c r="H97" s="10" t="s">
        <v>847</v>
      </c>
      <c r="I97" s="10"/>
      <c r="J97" s="28" t="s">
        <v>1037</v>
      </c>
      <c r="K97" s="1">
        <f t="shared" si="3"/>
        <v>105</v>
      </c>
      <c r="L97" s="1" t="str">
        <f t="shared" si="4"/>
        <v>69</v>
      </c>
      <c r="M97" s="1" t="str">
        <f t="shared" si="5"/>
        <v>0x0069</v>
      </c>
    </row>
    <row r="98" spans="1:13" ht="324" x14ac:dyDescent="0.25">
      <c r="A98" s="15" t="s">
        <v>549</v>
      </c>
      <c r="B98" s="15" t="s">
        <v>10</v>
      </c>
      <c r="C98" s="15">
        <v>107</v>
      </c>
      <c r="D98" s="5" t="s">
        <v>1239</v>
      </c>
      <c r="E98" s="15">
        <v>1</v>
      </c>
      <c r="F98" s="5" t="s">
        <v>549</v>
      </c>
      <c r="G98" s="10" t="s">
        <v>982</v>
      </c>
      <c r="H98" s="10" t="s">
        <v>847</v>
      </c>
      <c r="I98" s="6"/>
      <c r="J98" s="28" t="s">
        <v>1037</v>
      </c>
      <c r="K98" s="1">
        <f t="shared" si="3"/>
        <v>106</v>
      </c>
      <c r="L98" s="1" t="str">
        <f t="shared" si="4"/>
        <v>6A</v>
      </c>
      <c r="M98" s="1" t="str">
        <f t="shared" si="5"/>
        <v>0x006A</v>
      </c>
    </row>
    <row r="99" spans="1:13" ht="324" x14ac:dyDescent="0.25">
      <c r="A99" s="15" t="s">
        <v>550</v>
      </c>
      <c r="B99" s="15" t="s">
        <v>10</v>
      </c>
      <c r="C99" s="15">
        <v>108</v>
      </c>
      <c r="D99" s="5" t="s">
        <v>1240</v>
      </c>
      <c r="E99" s="15">
        <v>1</v>
      </c>
      <c r="F99" s="5" t="s">
        <v>550</v>
      </c>
      <c r="G99" s="10" t="s">
        <v>846</v>
      </c>
      <c r="H99" s="10" t="s">
        <v>847</v>
      </c>
      <c r="I99" s="10"/>
      <c r="J99" s="28" t="s">
        <v>1037</v>
      </c>
      <c r="K99" s="1">
        <f t="shared" si="3"/>
        <v>107</v>
      </c>
      <c r="L99" s="1" t="str">
        <f t="shared" si="4"/>
        <v>6B</v>
      </c>
      <c r="M99" s="1" t="str">
        <f t="shared" si="5"/>
        <v>0x006B</v>
      </c>
    </row>
    <row r="100" spans="1:13" ht="324" x14ac:dyDescent="0.25">
      <c r="A100" s="15" t="s">
        <v>551</v>
      </c>
      <c r="B100" s="15" t="s">
        <v>10</v>
      </c>
      <c r="C100" s="15">
        <v>109</v>
      </c>
      <c r="D100" s="5" t="s">
        <v>1241</v>
      </c>
      <c r="E100" s="16">
        <v>1</v>
      </c>
      <c r="F100" s="5" t="s">
        <v>551</v>
      </c>
      <c r="G100" s="10" t="s">
        <v>982</v>
      </c>
      <c r="H100" s="10" t="s">
        <v>847</v>
      </c>
      <c r="I100" s="6"/>
      <c r="J100" s="28" t="s">
        <v>1037</v>
      </c>
      <c r="K100" s="1">
        <f t="shared" si="3"/>
        <v>108</v>
      </c>
      <c r="L100" s="1" t="str">
        <f t="shared" si="4"/>
        <v>6C</v>
      </c>
      <c r="M100" s="1" t="str">
        <f t="shared" si="5"/>
        <v>0x006C</v>
      </c>
    </row>
    <row r="101" spans="1:13" ht="324" x14ac:dyDescent="0.25">
      <c r="A101" s="16" t="s">
        <v>552</v>
      </c>
      <c r="B101" s="15" t="s">
        <v>10</v>
      </c>
      <c r="C101" s="15">
        <v>110</v>
      </c>
      <c r="D101" s="5" t="s">
        <v>1242</v>
      </c>
      <c r="E101" s="15">
        <v>1</v>
      </c>
      <c r="F101" s="14" t="s">
        <v>552</v>
      </c>
      <c r="G101" s="10" t="s">
        <v>982</v>
      </c>
      <c r="H101" s="10" t="s">
        <v>847</v>
      </c>
      <c r="I101" s="10"/>
      <c r="J101" s="28" t="s">
        <v>1037</v>
      </c>
      <c r="K101" s="1">
        <f t="shared" si="3"/>
        <v>109</v>
      </c>
      <c r="L101" s="1" t="str">
        <f t="shared" si="4"/>
        <v>6D</v>
      </c>
      <c r="M101" s="1" t="str">
        <f t="shared" si="5"/>
        <v>0x006D</v>
      </c>
    </row>
    <row r="102" spans="1:13" ht="40.5" x14ac:dyDescent="0.25">
      <c r="A102" s="15" t="s">
        <v>1038</v>
      </c>
      <c r="B102" s="15" t="s">
        <v>10</v>
      </c>
      <c r="C102" s="5">
        <v>151</v>
      </c>
      <c r="D102" s="5" t="s">
        <v>1243</v>
      </c>
      <c r="E102" s="15">
        <v>1</v>
      </c>
      <c r="F102" s="6" t="s">
        <v>986</v>
      </c>
      <c r="G102" s="6" t="s">
        <v>85</v>
      </c>
      <c r="H102" s="10" t="s">
        <v>86</v>
      </c>
      <c r="I102" s="10" t="s">
        <v>87</v>
      </c>
      <c r="J102" s="30" t="s">
        <v>1017</v>
      </c>
      <c r="K102" s="1">
        <f t="shared" si="3"/>
        <v>150</v>
      </c>
      <c r="L102" s="1" t="str">
        <f t="shared" si="4"/>
        <v>96</v>
      </c>
      <c r="M102" s="1" t="str">
        <f t="shared" si="5"/>
        <v>0x0096</v>
      </c>
    </row>
    <row r="103" spans="1:13" ht="283.5" x14ac:dyDescent="0.25">
      <c r="A103" s="15" t="s">
        <v>195</v>
      </c>
      <c r="B103" s="15" t="s">
        <v>10</v>
      </c>
      <c r="C103" s="5">
        <v>153</v>
      </c>
      <c r="D103" s="5" t="s">
        <v>1244</v>
      </c>
      <c r="E103" s="15">
        <v>1</v>
      </c>
      <c r="F103" s="6" t="s">
        <v>989</v>
      </c>
      <c r="G103" s="6" t="s">
        <v>987</v>
      </c>
      <c r="H103" s="6"/>
      <c r="I103" s="6"/>
      <c r="J103" s="30" t="s">
        <v>1005</v>
      </c>
      <c r="K103" s="1">
        <f t="shared" si="3"/>
        <v>152</v>
      </c>
      <c r="L103" s="1" t="str">
        <f t="shared" si="4"/>
        <v>98</v>
      </c>
      <c r="M103" s="1" t="str">
        <f t="shared" si="5"/>
        <v>0x0098</v>
      </c>
    </row>
    <row r="104" spans="1:13" ht="40.5" x14ac:dyDescent="0.25">
      <c r="A104" s="15" t="s">
        <v>102</v>
      </c>
      <c r="B104" s="15" t="s">
        <v>10</v>
      </c>
      <c r="C104" s="5">
        <v>154</v>
      </c>
      <c r="D104" s="5" t="s">
        <v>1245</v>
      </c>
      <c r="E104" s="16">
        <v>2</v>
      </c>
      <c r="F104" s="6" t="s">
        <v>626</v>
      </c>
      <c r="G104" s="6" t="s">
        <v>103</v>
      </c>
      <c r="H104" s="6" t="s">
        <v>104</v>
      </c>
      <c r="I104" s="6" t="s">
        <v>105</v>
      </c>
      <c r="J104" s="30" t="s">
        <v>865</v>
      </c>
      <c r="K104" s="1">
        <f t="shared" si="3"/>
        <v>153</v>
      </c>
      <c r="L104" s="1" t="str">
        <f t="shared" si="4"/>
        <v>99</v>
      </c>
      <c r="M104" s="1" t="str">
        <f t="shared" si="5"/>
        <v>0x0099</v>
      </c>
    </row>
    <row r="105" spans="1:13" x14ac:dyDescent="0.25">
      <c r="A105" s="16" t="s">
        <v>98</v>
      </c>
      <c r="B105" s="15" t="s">
        <v>10</v>
      </c>
      <c r="C105" s="5">
        <v>156</v>
      </c>
      <c r="D105" s="5" t="s">
        <v>1246</v>
      </c>
      <c r="E105" s="16">
        <v>1</v>
      </c>
      <c r="F105" s="6" t="s">
        <v>624</v>
      </c>
      <c r="G105" s="6" t="s">
        <v>99</v>
      </c>
      <c r="H105" s="6" t="s">
        <v>100</v>
      </c>
      <c r="I105" s="6" t="s">
        <v>101</v>
      </c>
      <c r="J105" s="30" t="s">
        <v>1020</v>
      </c>
      <c r="K105" s="1">
        <f t="shared" si="3"/>
        <v>155</v>
      </c>
      <c r="L105" s="1" t="str">
        <f t="shared" si="4"/>
        <v>9B</v>
      </c>
      <c r="M105" s="1" t="str">
        <f t="shared" si="5"/>
        <v>0x009B</v>
      </c>
    </row>
    <row r="106" spans="1:13" ht="60.75" x14ac:dyDescent="0.25">
      <c r="A106" s="16" t="s">
        <v>9</v>
      </c>
      <c r="B106" s="15" t="s">
        <v>10</v>
      </c>
      <c r="C106" s="5">
        <v>157</v>
      </c>
      <c r="D106" s="5" t="s">
        <v>1247</v>
      </c>
      <c r="E106" s="16">
        <v>1</v>
      </c>
      <c r="F106" s="6" t="s">
        <v>646</v>
      </c>
      <c r="G106" s="6" t="s">
        <v>12</v>
      </c>
      <c r="H106" s="6"/>
      <c r="I106" s="6"/>
      <c r="J106" s="30" t="s">
        <v>9</v>
      </c>
      <c r="K106" s="1">
        <f t="shared" si="3"/>
        <v>156</v>
      </c>
      <c r="L106" s="1" t="str">
        <f t="shared" si="4"/>
        <v>9C</v>
      </c>
      <c r="M106" s="1" t="str">
        <f t="shared" si="5"/>
        <v>0x009C</v>
      </c>
    </row>
    <row r="107" spans="1:13" ht="40.5" x14ac:dyDescent="0.25">
      <c r="A107" s="16" t="s">
        <v>94</v>
      </c>
      <c r="B107" s="15" t="s">
        <v>10</v>
      </c>
      <c r="C107" s="5">
        <v>158</v>
      </c>
      <c r="D107" s="5" t="s">
        <v>1248</v>
      </c>
      <c r="E107" s="15">
        <v>1</v>
      </c>
      <c r="F107" s="6" t="s">
        <v>623</v>
      </c>
      <c r="G107" s="6" t="s">
        <v>95</v>
      </c>
      <c r="H107" s="10" t="s">
        <v>177</v>
      </c>
      <c r="I107" s="10" t="s">
        <v>97</v>
      </c>
      <c r="J107" s="30" t="s">
        <v>1019</v>
      </c>
      <c r="K107" s="1">
        <f t="shared" si="3"/>
        <v>157</v>
      </c>
      <c r="L107" s="1" t="str">
        <f t="shared" si="4"/>
        <v>9D</v>
      </c>
      <c r="M107" s="1" t="str">
        <f t="shared" si="5"/>
        <v>0x009D</v>
      </c>
    </row>
    <row r="108" spans="1:13" x14ac:dyDescent="0.25">
      <c r="A108" s="15" t="s">
        <v>198</v>
      </c>
      <c r="B108" s="15" t="s">
        <v>10</v>
      </c>
      <c r="C108" s="5">
        <v>159</v>
      </c>
      <c r="D108" s="5" t="s">
        <v>1249</v>
      </c>
      <c r="E108" s="16">
        <v>1</v>
      </c>
      <c r="F108" s="6" t="s">
        <v>625</v>
      </c>
      <c r="G108" s="6" t="s">
        <v>123</v>
      </c>
      <c r="H108" s="6">
        <v>0</v>
      </c>
      <c r="I108" s="10" t="s">
        <v>125</v>
      </c>
      <c r="J108" s="30" t="s">
        <v>1023</v>
      </c>
      <c r="K108" s="1">
        <f t="shared" si="3"/>
        <v>158</v>
      </c>
      <c r="L108" s="1" t="str">
        <f t="shared" si="4"/>
        <v>9E</v>
      </c>
      <c r="M108" s="1" t="str">
        <f t="shared" si="5"/>
        <v>0x009E</v>
      </c>
    </row>
    <row r="109" spans="1:13" ht="40.5" x14ac:dyDescent="0.25">
      <c r="A109" s="16" t="s">
        <v>199</v>
      </c>
      <c r="B109" s="15" t="s">
        <v>10</v>
      </c>
      <c r="C109" s="5">
        <v>160</v>
      </c>
      <c r="D109" s="5" t="s">
        <v>1250</v>
      </c>
      <c r="E109" s="15">
        <v>1</v>
      </c>
      <c r="F109" s="6" t="s">
        <v>988</v>
      </c>
      <c r="G109" s="6" t="s">
        <v>92</v>
      </c>
      <c r="H109" s="6">
        <v>0</v>
      </c>
      <c r="I109" s="6" t="s">
        <v>93</v>
      </c>
      <c r="J109" s="30" t="s">
        <v>1018</v>
      </c>
      <c r="K109" s="1">
        <f t="shared" si="3"/>
        <v>159</v>
      </c>
      <c r="L109" s="1" t="str">
        <f t="shared" si="4"/>
        <v>9F</v>
      </c>
      <c r="M109" s="1" t="str">
        <f t="shared" si="5"/>
        <v>0x009F</v>
      </c>
    </row>
    <row r="110" spans="1:13" ht="40.5" x14ac:dyDescent="0.25">
      <c r="A110" s="15" t="s">
        <v>188</v>
      </c>
      <c r="B110" s="15" t="s">
        <v>10</v>
      </c>
      <c r="C110" s="5">
        <v>161</v>
      </c>
      <c r="D110" s="5" t="s">
        <v>1251</v>
      </c>
      <c r="E110" s="16">
        <v>1</v>
      </c>
      <c r="F110" s="6" t="s">
        <v>779</v>
      </c>
      <c r="G110" s="10" t="s">
        <v>189</v>
      </c>
      <c r="H110" s="10" t="s">
        <v>190</v>
      </c>
      <c r="I110" s="10" t="s">
        <v>191</v>
      </c>
      <c r="J110" s="27" t="s">
        <v>1035</v>
      </c>
      <c r="K110" s="1">
        <f t="shared" si="3"/>
        <v>160</v>
      </c>
      <c r="L110" s="1" t="str">
        <f t="shared" si="4"/>
        <v>A0</v>
      </c>
      <c r="M110" s="1" t="str">
        <f t="shared" si="5"/>
        <v>0x00A0</v>
      </c>
    </row>
    <row r="111" spans="1:13" x14ac:dyDescent="0.25">
      <c r="A111" s="16" t="s">
        <v>200</v>
      </c>
      <c r="B111" s="15" t="s">
        <v>10</v>
      </c>
      <c r="C111" s="5">
        <v>162</v>
      </c>
      <c r="D111" s="5" t="s">
        <v>1252</v>
      </c>
      <c r="E111" s="15">
        <v>1</v>
      </c>
      <c r="F111" s="6" t="s">
        <v>618</v>
      </c>
      <c r="G111" s="10" t="s">
        <v>99</v>
      </c>
      <c r="H111" s="10" t="s">
        <v>201</v>
      </c>
      <c r="I111" s="10" t="s">
        <v>101</v>
      </c>
      <c r="J111" s="29" t="s">
        <v>1020</v>
      </c>
      <c r="K111" s="1">
        <f t="shared" si="3"/>
        <v>161</v>
      </c>
      <c r="L111" s="1" t="str">
        <f t="shared" si="4"/>
        <v>A1</v>
      </c>
      <c r="M111" s="1" t="str">
        <f t="shared" si="5"/>
        <v>0x00A1</v>
      </c>
    </row>
    <row r="112" spans="1:13" x14ac:dyDescent="0.25">
      <c r="A112" s="15" t="s">
        <v>202</v>
      </c>
      <c r="B112" s="15" t="s">
        <v>10</v>
      </c>
      <c r="C112" s="5">
        <v>163</v>
      </c>
      <c r="D112" s="5" t="s">
        <v>1253</v>
      </c>
      <c r="E112" s="16">
        <v>1</v>
      </c>
      <c r="F112" s="6" t="s">
        <v>619</v>
      </c>
      <c r="G112" s="10" t="s">
        <v>99</v>
      </c>
      <c r="H112" s="10" t="s">
        <v>201</v>
      </c>
      <c r="I112" s="10" t="s">
        <v>101</v>
      </c>
      <c r="J112" s="29" t="s">
        <v>1020</v>
      </c>
      <c r="K112" s="1">
        <f t="shared" si="3"/>
        <v>162</v>
      </c>
      <c r="L112" s="1" t="str">
        <f t="shared" si="4"/>
        <v>A2</v>
      </c>
      <c r="M112" s="1" t="str">
        <f t="shared" si="5"/>
        <v>0x00A2</v>
      </c>
    </row>
    <row r="113" spans="1:13" x14ac:dyDescent="0.25">
      <c r="A113" s="16" t="s">
        <v>203</v>
      </c>
      <c r="B113" s="15" t="s">
        <v>10</v>
      </c>
      <c r="C113" s="5">
        <v>164</v>
      </c>
      <c r="D113" s="5" t="s">
        <v>1254</v>
      </c>
      <c r="E113" s="16">
        <v>1</v>
      </c>
      <c r="F113" s="6" t="s">
        <v>620</v>
      </c>
      <c r="G113" s="10" t="s">
        <v>99</v>
      </c>
      <c r="H113" s="10" t="s">
        <v>201</v>
      </c>
      <c r="I113" s="10" t="s">
        <v>101</v>
      </c>
      <c r="J113" s="29" t="s">
        <v>1020</v>
      </c>
      <c r="K113" s="1">
        <f t="shared" si="3"/>
        <v>163</v>
      </c>
      <c r="L113" s="1" t="str">
        <f t="shared" si="4"/>
        <v>A3</v>
      </c>
      <c r="M113" s="1" t="str">
        <f t="shared" si="5"/>
        <v>0x00A3</v>
      </c>
    </row>
    <row r="114" spans="1:13" ht="60.75" x14ac:dyDescent="0.25">
      <c r="A114" s="16" t="s">
        <v>204</v>
      </c>
      <c r="B114" s="15" t="s">
        <v>10</v>
      </c>
      <c r="C114" s="5">
        <v>165</v>
      </c>
      <c r="D114" s="5" t="s">
        <v>1255</v>
      </c>
      <c r="E114" s="16">
        <v>1</v>
      </c>
      <c r="F114" s="6" t="s">
        <v>616</v>
      </c>
      <c r="G114" s="10" t="s">
        <v>99</v>
      </c>
      <c r="H114" s="10" t="s">
        <v>201</v>
      </c>
      <c r="I114" s="10" t="s">
        <v>101</v>
      </c>
      <c r="J114" s="29" t="s">
        <v>1020</v>
      </c>
      <c r="K114" s="1">
        <f t="shared" si="3"/>
        <v>164</v>
      </c>
      <c r="L114" s="1" t="str">
        <f t="shared" si="4"/>
        <v>A4</v>
      </c>
      <c r="M114" s="1" t="str">
        <f t="shared" si="5"/>
        <v>0x00A4</v>
      </c>
    </row>
    <row r="115" spans="1:13" ht="40.5" x14ac:dyDescent="0.25">
      <c r="A115" s="16" t="s">
        <v>205</v>
      </c>
      <c r="B115" s="15" t="s">
        <v>10</v>
      </c>
      <c r="C115" s="5">
        <v>166</v>
      </c>
      <c r="D115" s="5" t="s">
        <v>1256</v>
      </c>
      <c r="E115" s="16">
        <v>1</v>
      </c>
      <c r="F115" s="6" t="s">
        <v>617</v>
      </c>
      <c r="G115" s="10" t="s">
        <v>99</v>
      </c>
      <c r="H115" s="10" t="s">
        <v>201</v>
      </c>
      <c r="I115" s="10" t="s">
        <v>101</v>
      </c>
      <c r="J115" s="29" t="s">
        <v>1020</v>
      </c>
      <c r="K115" s="1">
        <f t="shared" si="3"/>
        <v>165</v>
      </c>
      <c r="L115" s="1" t="str">
        <f t="shared" si="4"/>
        <v>A5</v>
      </c>
      <c r="M115" s="1" t="str">
        <f t="shared" si="5"/>
        <v>0x00A5</v>
      </c>
    </row>
    <row r="116" spans="1:13" x14ac:dyDescent="0.25">
      <c r="A116" s="16" t="s">
        <v>207</v>
      </c>
      <c r="B116" s="15" t="s">
        <v>10</v>
      </c>
      <c r="C116" s="5">
        <v>206</v>
      </c>
      <c r="D116" s="5" t="s">
        <v>1257</v>
      </c>
      <c r="E116" s="16">
        <v>1</v>
      </c>
      <c r="F116" s="6" t="s">
        <v>672</v>
      </c>
      <c r="G116" s="10" t="s">
        <v>176</v>
      </c>
      <c r="H116" s="6">
        <v>0</v>
      </c>
      <c r="I116" s="10" t="s">
        <v>208</v>
      </c>
      <c r="J116" s="29" t="s">
        <v>1095</v>
      </c>
      <c r="K116" s="1">
        <f t="shared" si="3"/>
        <v>205</v>
      </c>
      <c r="L116" s="1" t="str">
        <f t="shared" si="4"/>
        <v>CD</v>
      </c>
      <c r="M116" s="1" t="str">
        <f t="shared" si="5"/>
        <v>0x00CD</v>
      </c>
    </row>
    <row r="117" spans="1:13" x14ac:dyDescent="0.25">
      <c r="A117" s="16" t="s">
        <v>175</v>
      </c>
      <c r="B117" s="15" t="s">
        <v>10</v>
      </c>
      <c r="C117" s="5">
        <v>207</v>
      </c>
      <c r="D117" s="5" t="s">
        <v>1258</v>
      </c>
      <c r="E117" s="16">
        <v>2</v>
      </c>
      <c r="F117" s="6" t="s">
        <v>629</v>
      </c>
      <c r="G117" s="10" t="s">
        <v>176</v>
      </c>
      <c r="H117" s="6">
        <v>0</v>
      </c>
      <c r="I117" s="10" t="s">
        <v>178</v>
      </c>
      <c r="J117" s="29" t="s">
        <v>1032</v>
      </c>
      <c r="K117" s="1">
        <f t="shared" si="3"/>
        <v>206</v>
      </c>
      <c r="L117" s="1" t="str">
        <f t="shared" si="4"/>
        <v>CE</v>
      </c>
      <c r="M117" s="1" t="str">
        <f t="shared" si="5"/>
        <v>0x00CE</v>
      </c>
    </row>
    <row r="118" spans="1:13" x14ac:dyDescent="0.25">
      <c r="A118" s="16" t="s">
        <v>179</v>
      </c>
      <c r="B118" s="15" t="s">
        <v>10</v>
      </c>
      <c r="C118" s="5">
        <v>209</v>
      </c>
      <c r="D118" s="5" t="s">
        <v>1259</v>
      </c>
      <c r="E118" s="16">
        <v>2</v>
      </c>
      <c r="F118" s="6" t="s">
        <v>630</v>
      </c>
      <c r="G118" s="10" t="s">
        <v>176</v>
      </c>
      <c r="H118" s="6">
        <v>0</v>
      </c>
      <c r="I118" s="10" t="s">
        <v>178</v>
      </c>
      <c r="J118" s="29" t="s">
        <v>1032</v>
      </c>
      <c r="K118" s="1">
        <f t="shared" si="3"/>
        <v>208</v>
      </c>
      <c r="L118" s="1" t="str">
        <f t="shared" si="4"/>
        <v>D0</v>
      </c>
      <c r="M118" s="1" t="str">
        <f t="shared" si="5"/>
        <v>0x00D0</v>
      </c>
    </row>
    <row r="119" spans="1:13" ht="40.5" x14ac:dyDescent="0.25">
      <c r="A119" s="16" t="s">
        <v>180</v>
      </c>
      <c r="B119" s="15" t="s">
        <v>10</v>
      </c>
      <c r="C119" s="5">
        <v>211</v>
      </c>
      <c r="D119" s="5" t="s">
        <v>1260</v>
      </c>
      <c r="E119" s="16">
        <v>1</v>
      </c>
      <c r="F119" s="6" t="s">
        <v>627</v>
      </c>
      <c r="G119" s="6" t="s">
        <v>181</v>
      </c>
      <c r="H119" s="10" t="s">
        <v>182</v>
      </c>
      <c r="I119" s="10" t="s">
        <v>183</v>
      </c>
      <c r="J119" s="29" t="s">
        <v>1033</v>
      </c>
      <c r="K119" s="1">
        <f t="shared" si="3"/>
        <v>210</v>
      </c>
      <c r="L119" s="1" t="str">
        <f t="shared" si="4"/>
        <v>D2</v>
      </c>
      <c r="M119" s="1" t="str">
        <f t="shared" si="5"/>
        <v>0x00D2</v>
      </c>
    </row>
    <row r="120" spans="1:13" ht="60.75" x14ac:dyDescent="0.25">
      <c r="A120" s="16" t="s">
        <v>209</v>
      </c>
      <c r="B120" s="15" t="s">
        <v>10</v>
      </c>
      <c r="C120" s="5">
        <v>212</v>
      </c>
      <c r="D120" s="5" t="s">
        <v>1261</v>
      </c>
      <c r="E120" s="16">
        <v>1</v>
      </c>
      <c r="F120" s="6" t="s">
        <v>628</v>
      </c>
      <c r="G120" s="6" t="s">
        <v>185</v>
      </c>
      <c r="H120" s="10" t="s">
        <v>186</v>
      </c>
      <c r="I120" s="10" t="s">
        <v>187</v>
      </c>
      <c r="J120" s="29" t="s">
        <v>1096</v>
      </c>
      <c r="K120" s="1">
        <f t="shared" si="3"/>
        <v>211</v>
      </c>
      <c r="L120" s="1" t="str">
        <f t="shared" si="4"/>
        <v>D3</v>
      </c>
      <c r="M120" s="1" t="str">
        <f t="shared" si="5"/>
        <v>0x00D3</v>
      </c>
    </row>
    <row r="121" spans="1:13" ht="60.75" x14ac:dyDescent="0.25">
      <c r="A121" s="16" t="s">
        <v>184</v>
      </c>
      <c r="B121" s="15" t="s">
        <v>10</v>
      </c>
      <c r="C121" s="5">
        <v>213</v>
      </c>
      <c r="D121" s="5" t="s">
        <v>1262</v>
      </c>
      <c r="E121" s="16">
        <v>1</v>
      </c>
      <c r="F121" s="6" t="s">
        <v>645</v>
      </c>
      <c r="G121" s="6" t="s">
        <v>210</v>
      </c>
      <c r="H121" s="6">
        <v>-125</v>
      </c>
      <c r="I121" s="10" t="s">
        <v>211</v>
      </c>
      <c r="J121" s="29" t="s">
        <v>1034</v>
      </c>
      <c r="K121" s="1">
        <f t="shared" si="3"/>
        <v>212</v>
      </c>
      <c r="L121" s="1" t="str">
        <f t="shared" si="4"/>
        <v>D4</v>
      </c>
      <c r="M121" s="1" t="str">
        <f t="shared" si="5"/>
        <v>0x00D4</v>
      </c>
    </row>
    <row r="122" spans="1:13" ht="40.5" x14ac:dyDescent="0.25">
      <c r="A122" s="16" t="s">
        <v>128</v>
      </c>
      <c r="B122" s="15" t="s">
        <v>10</v>
      </c>
      <c r="C122" s="5">
        <v>214</v>
      </c>
      <c r="D122" s="5" t="s">
        <v>1263</v>
      </c>
      <c r="E122" s="16">
        <v>1</v>
      </c>
      <c r="F122" s="6" t="s">
        <v>622</v>
      </c>
      <c r="G122" s="10" t="s">
        <v>99</v>
      </c>
      <c r="H122" s="10" t="s">
        <v>201</v>
      </c>
      <c r="I122" s="10" t="s">
        <v>101</v>
      </c>
      <c r="J122" s="29" t="s">
        <v>1020</v>
      </c>
      <c r="K122" s="1">
        <f t="shared" si="3"/>
        <v>213</v>
      </c>
      <c r="L122" s="1" t="str">
        <f t="shared" si="4"/>
        <v>D5</v>
      </c>
      <c r="M122" s="1" t="str">
        <f t="shared" si="5"/>
        <v>0x00D5</v>
      </c>
    </row>
    <row r="123" spans="1:13" ht="40.5" x14ac:dyDescent="0.25">
      <c r="A123" s="16" t="s">
        <v>129</v>
      </c>
      <c r="B123" s="15" t="s">
        <v>10</v>
      </c>
      <c r="C123" s="5">
        <v>215</v>
      </c>
      <c r="D123" s="5" t="s">
        <v>1264</v>
      </c>
      <c r="E123" s="16">
        <v>1</v>
      </c>
      <c r="F123" s="6" t="s">
        <v>636</v>
      </c>
      <c r="G123" s="10" t="s">
        <v>99</v>
      </c>
      <c r="H123" s="10" t="s">
        <v>201</v>
      </c>
      <c r="I123" s="10" t="s">
        <v>101</v>
      </c>
      <c r="J123" s="29" t="s">
        <v>1020</v>
      </c>
      <c r="K123" s="1">
        <f t="shared" si="3"/>
        <v>214</v>
      </c>
      <c r="L123" s="1" t="str">
        <f t="shared" si="4"/>
        <v>D6</v>
      </c>
      <c r="M123" s="1" t="str">
        <f t="shared" si="5"/>
        <v>0x00D6</v>
      </c>
    </row>
    <row r="124" spans="1:13" ht="60.75" x14ac:dyDescent="0.25">
      <c r="A124" s="16" t="s">
        <v>126</v>
      </c>
      <c r="B124" s="15" t="s">
        <v>10</v>
      </c>
      <c r="C124" s="5">
        <v>216</v>
      </c>
      <c r="D124" s="5" t="s">
        <v>1265</v>
      </c>
      <c r="E124" s="16">
        <v>1</v>
      </c>
      <c r="F124" s="6" t="s">
        <v>633</v>
      </c>
      <c r="G124" s="10" t="s">
        <v>99</v>
      </c>
      <c r="H124" s="10" t="s">
        <v>201</v>
      </c>
      <c r="I124" s="10" t="s">
        <v>101</v>
      </c>
      <c r="J124" s="29" t="s">
        <v>1020</v>
      </c>
      <c r="K124" s="1">
        <f t="shared" si="3"/>
        <v>215</v>
      </c>
      <c r="L124" s="1" t="str">
        <f t="shared" si="4"/>
        <v>D7</v>
      </c>
      <c r="M124" s="1" t="str">
        <f t="shared" si="5"/>
        <v>0x00D7</v>
      </c>
    </row>
    <row r="125" spans="1:13" ht="60.75" x14ac:dyDescent="0.25">
      <c r="A125" s="16" t="s">
        <v>127</v>
      </c>
      <c r="B125" s="15" t="s">
        <v>10</v>
      </c>
      <c r="C125" s="5">
        <v>217</v>
      </c>
      <c r="D125" s="5" t="s">
        <v>1266</v>
      </c>
      <c r="E125" s="16">
        <v>1</v>
      </c>
      <c r="F125" s="6" t="s">
        <v>634</v>
      </c>
      <c r="G125" s="10" t="s">
        <v>99</v>
      </c>
      <c r="H125" s="10" t="s">
        <v>201</v>
      </c>
      <c r="I125" s="10" t="s">
        <v>101</v>
      </c>
      <c r="J125" s="29" t="s">
        <v>1020</v>
      </c>
      <c r="K125" s="1">
        <f t="shared" si="3"/>
        <v>216</v>
      </c>
      <c r="L125" s="1" t="str">
        <f t="shared" si="4"/>
        <v>D8</v>
      </c>
      <c r="M125" s="1" t="str">
        <f t="shared" si="5"/>
        <v>0x00D8</v>
      </c>
    </row>
    <row r="126" spans="1:13" ht="60.75" x14ac:dyDescent="0.25">
      <c r="A126" s="16" t="s">
        <v>110</v>
      </c>
      <c r="B126" s="15" t="s">
        <v>10</v>
      </c>
      <c r="C126" s="5">
        <v>218</v>
      </c>
      <c r="D126" s="5" t="s">
        <v>1267</v>
      </c>
      <c r="E126" s="16">
        <v>1</v>
      </c>
      <c r="F126" s="6" t="s">
        <v>635</v>
      </c>
      <c r="G126" s="10" t="s">
        <v>99</v>
      </c>
      <c r="H126" s="10" t="s">
        <v>201</v>
      </c>
      <c r="I126" s="10" t="s">
        <v>101</v>
      </c>
      <c r="J126" s="29" t="s">
        <v>1020</v>
      </c>
      <c r="K126" s="1">
        <f t="shared" si="3"/>
        <v>217</v>
      </c>
      <c r="L126" s="1" t="str">
        <f t="shared" si="4"/>
        <v>D9</v>
      </c>
      <c r="M126" s="1" t="str">
        <f t="shared" si="5"/>
        <v>0x00D9</v>
      </c>
    </row>
    <row r="127" spans="1:13" ht="40.5" x14ac:dyDescent="0.25">
      <c r="A127" s="16" t="s">
        <v>212</v>
      </c>
      <c r="B127" s="15" t="s">
        <v>10</v>
      </c>
      <c r="C127" s="5">
        <v>219</v>
      </c>
      <c r="D127" s="5" t="s">
        <v>1268</v>
      </c>
      <c r="E127" s="16">
        <v>1</v>
      </c>
      <c r="F127" s="6" t="s">
        <v>765</v>
      </c>
      <c r="G127" s="6" t="s">
        <v>213</v>
      </c>
      <c r="H127" s="10" t="s">
        <v>201</v>
      </c>
      <c r="I127" s="6" t="s">
        <v>214</v>
      </c>
      <c r="J127" s="29" t="s">
        <v>1097</v>
      </c>
      <c r="K127" s="1">
        <f t="shared" si="3"/>
        <v>218</v>
      </c>
      <c r="L127" s="1" t="str">
        <f t="shared" si="4"/>
        <v>DA</v>
      </c>
      <c r="M127" s="1" t="str">
        <f t="shared" si="5"/>
        <v>0x00DA</v>
      </c>
    </row>
    <row r="128" spans="1:13" x14ac:dyDescent="0.25">
      <c r="A128" s="16" t="s">
        <v>215</v>
      </c>
      <c r="B128" s="15" t="s">
        <v>10</v>
      </c>
      <c r="C128" s="5">
        <v>220</v>
      </c>
      <c r="D128" s="5" t="s">
        <v>1269</v>
      </c>
      <c r="E128" s="16">
        <v>1</v>
      </c>
      <c r="F128" s="6" t="s">
        <v>817</v>
      </c>
      <c r="G128" s="10" t="s">
        <v>150</v>
      </c>
      <c r="H128" s="6">
        <v>-40</v>
      </c>
      <c r="I128" s="10" t="s">
        <v>152</v>
      </c>
      <c r="J128" s="29" t="s">
        <v>1026</v>
      </c>
      <c r="K128" s="1">
        <f t="shared" si="3"/>
        <v>219</v>
      </c>
      <c r="L128" s="1" t="str">
        <f t="shared" si="4"/>
        <v>DB</v>
      </c>
      <c r="M128" s="1" t="str">
        <f t="shared" si="5"/>
        <v>0x00DB</v>
      </c>
    </row>
    <row r="129" spans="1:13" x14ac:dyDescent="0.25">
      <c r="A129" s="16" t="s">
        <v>216</v>
      </c>
      <c r="B129" s="15" t="s">
        <v>10</v>
      </c>
      <c r="C129" s="5">
        <v>221</v>
      </c>
      <c r="D129" s="5" t="s">
        <v>1270</v>
      </c>
      <c r="E129" s="16">
        <v>1</v>
      </c>
      <c r="F129" s="6" t="s">
        <v>818</v>
      </c>
      <c r="G129" s="10" t="s">
        <v>150</v>
      </c>
      <c r="H129" s="6">
        <v>-40</v>
      </c>
      <c r="I129" s="10" t="s">
        <v>152</v>
      </c>
      <c r="J129" s="29" t="s">
        <v>1026</v>
      </c>
      <c r="K129" s="1">
        <f t="shared" si="3"/>
        <v>220</v>
      </c>
      <c r="L129" s="1" t="str">
        <f t="shared" si="4"/>
        <v>DC</v>
      </c>
      <c r="M129" s="1" t="str">
        <f t="shared" si="5"/>
        <v>0x00DC</v>
      </c>
    </row>
    <row r="130" spans="1:13" ht="40.5" x14ac:dyDescent="0.25">
      <c r="A130" s="16" t="s">
        <v>149</v>
      </c>
      <c r="B130" s="15" t="s">
        <v>10</v>
      </c>
      <c r="C130" s="5">
        <v>222</v>
      </c>
      <c r="D130" s="5" t="s">
        <v>1271</v>
      </c>
      <c r="E130" s="16">
        <v>1</v>
      </c>
      <c r="F130" s="6" t="s">
        <v>816</v>
      </c>
      <c r="G130" s="10" t="s">
        <v>150</v>
      </c>
      <c r="H130" s="6">
        <v>-40</v>
      </c>
      <c r="I130" s="10" t="s">
        <v>152</v>
      </c>
      <c r="J130" s="29" t="s">
        <v>1026</v>
      </c>
      <c r="K130" s="1">
        <f t="shared" si="3"/>
        <v>221</v>
      </c>
      <c r="L130" s="1" t="str">
        <f t="shared" si="4"/>
        <v>DD</v>
      </c>
      <c r="M130" s="1" t="str">
        <f t="shared" si="5"/>
        <v>0x00DD</v>
      </c>
    </row>
    <row r="131" spans="1:13" ht="40.5" x14ac:dyDescent="0.25">
      <c r="A131" s="16" t="s">
        <v>155</v>
      </c>
      <c r="B131" s="15" t="s">
        <v>10</v>
      </c>
      <c r="C131" s="5">
        <v>223</v>
      </c>
      <c r="D131" s="5" t="s">
        <v>1272</v>
      </c>
      <c r="E131" s="16">
        <v>1</v>
      </c>
      <c r="F131" s="6" t="s">
        <v>155</v>
      </c>
      <c r="G131" s="10" t="s">
        <v>150</v>
      </c>
      <c r="H131" s="6">
        <v>-40</v>
      </c>
      <c r="I131" s="10" t="s">
        <v>152</v>
      </c>
      <c r="J131" s="29" t="s">
        <v>1026</v>
      </c>
      <c r="K131" s="1">
        <f t="shared" si="3"/>
        <v>222</v>
      </c>
      <c r="L131" s="1" t="str">
        <f t="shared" si="4"/>
        <v>DE</v>
      </c>
      <c r="M131" s="1" t="str">
        <f t="shared" si="5"/>
        <v>0x00DE</v>
      </c>
    </row>
    <row r="132" spans="1:13" ht="40.5" x14ac:dyDescent="0.25">
      <c r="A132" s="16" t="s">
        <v>156</v>
      </c>
      <c r="B132" s="15" t="s">
        <v>10</v>
      </c>
      <c r="C132" s="5">
        <v>224</v>
      </c>
      <c r="D132" s="5" t="s">
        <v>1273</v>
      </c>
      <c r="E132" s="16">
        <v>1</v>
      </c>
      <c r="F132" s="6" t="s">
        <v>156</v>
      </c>
      <c r="G132" s="10" t="s">
        <v>150</v>
      </c>
      <c r="H132" s="6">
        <v>-40</v>
      </c>
      <c r="I132" s="10" t="s">
        <v>152</v>
      </c>
      <c r="J132" s="29" t="s">
        <v>1026</v>
      </c>
      <c r="K132" s="1">
        <f t="shared" si="3"/>
        <v>223</v>
      </c>
      <c r="L132" s="1" t="str">
        <f t="shared" si="4"/>
        <v>DF</v>
      </c>
      <c r="M132" s="1" t="str">
        <f t="shared" si="5"/>
        <v>0x00DF</v>
      </c>
    </row>
    <row r="133" spans="1:13" x14ac:dyDescent="0.25">
      <c r="A133" s="16" t="s">
        <v>217</v>
      </c>
      <c r="B133" s="15" t="s">
        <v>10</v>
      </c>
      <c r="C133" s="5">
        <v>225</v>
      </c>
      <c r="D133" s="5" t="s">
        <v>1274</v>
      </c>
      <c r="E133" s="16">
        <v>1</v>
      </c>
      <c r="F133" s="16" t="s">
        <v>217</v>
      </c>
      <c r="G133" s="10" t="s">
        <v>99</v>
      </c>
      <c r="H133" s="10" t="s">
        <v>201</v>
      </c>
      <c r="I133" s="10" t="s">
        <v>101</v>
      </c>
      <c r="J133" s="29" t="s">
        <v>1020</v>
      </c>
      <c r="K133" s="1">
        <f t="shared" si="3"/>
        <v>224</v>
      </c>
      <c r="L133" s="1" t="str">
        <f t="shared" si="4"/>
        <v>E0</v>
      </c>
      <c r="M133" s="1" t="str">
        <f t="shared" si="5"/>
        <v>0x00E0</v>
      </c>
    </row>
    <row r="134" spans="1:13" x14ac:dyDescent="0.25">
      <c r="A134" s="16" t="s">
        <v>218</v>
      </c>
      <c r="B134" s="15" t="s">
        <v>10</v>
      </c>
      <c r="C134" s="5">
        <v>226</v>
      </c>
      <c r="D134" s="5" t="s">
        <v>1275</v>
      </c>
      <c r="E134" s="16">
        <v>1</v>
      </c>
      <c r="F134" s="16" t="s">
        <v>218</v>
      </c>
      <c r="G134" s="10" t="s">
        <v>99</v>
      </c>
      <c r="H134" s="10" t="s">
        <v>201</v>
      </c>
      <c r="I134" s="10" t="s">
        <v>101</v>
      </c>
      <c r="J134" s="29" t="s">
        <v>1020</v>
      </c>
      <c r="K134" s="1">
        <f t="shared" si="3"/>
        <v>225</v>
      </c>
      <c r="L134" s="1" t="str">
        <f t="shared" si="4"/>
        <v>E1</v>
      </c>
      <c r="M134" s="1" t="str">
        <f t="shared" si="5"/>
        <v>0x00E1</v>
      </c>
    </row>
    <row r="135" spans="1:13" ht="60.75" x14ac:dyDescent="0.25">
      <c r="A135" s="16" t="s">
        <v>130</v>
      </c>
      <c r="B135" s="15" t="s">
        <v>10</v>
      </c>
      <c r="C135" s="5">
        <v>227</v>
      </c>
      <c r="D135" s="5" t="s">
        <v>1276</v>
      </c>
      <c r="E135" s="16">
        <v>1</v>
      </c>
      <c r="F135" s="6" t="s">
        <v>637</v>
      </c>
      <c r="G135" s="10" t="s">
        <v>95</v>
      </c>
      <c r="H135" s="10" t="s">
        <v>177</v>
      </c>
      <c r="I135" s="10" t="s">
        <v>97</v>
      </c>
      <c r="J135" s="29" t="s">
        <v>1019</v>
      </c>
      <c r="K135" s="1">
        <f t="shared" ref="K135:K198" si="6">C135-1</f>
        <v>226</v>
      </c>
      <c r="L135" s="1" t="str">
        <f t="shared" ref="L135:L198" si="7">DEC2HEX(K135)</f>
        <v>E2</v>
      </c>
      <c r="M135" s="1" t="str">
        <f t="shared" ref="M135:M198" si="8">_xlfn.CONCAT("0x00", L135)</f>
        <v>0x00E2</v>
      </c>
    </row>
    <row r="136" spans="1:13" ht="40.5" x14ac:dyDescent="0.25">
      <c r="A136" s="16" t="s">
        <v>131</v>
      </c>
      <c r="B136" s="15" t="s">
        <v>10</v>
      </c>
      <c r="C136" s="5">
        <v>228</v>
      </c>
      <c r="D136" s="5" t="s">
        <v>1277</v>
      </c>
      <c r="E136" s="16">
        <v>1</v>
      </c>
      <c r="F136" s="6" t="s">
        <v>638</v>
      </c>
      <c r="G136" s="10" t="s">
        <v>107</v>
      </c>
      <c r="H136" s="6">
        <v>-250</v>
      </c>
      <c r="I136" s="10" t="s">
        <v>109</v>
      </c>
      <c r="J136" s="29" t="s">
        <v>1021</v>
      </c>
      <c r="K136" s="1">
        <f t="shared" si="6"/>
        <v>227</v>
      </c>
      <c r="L136" s="1" t="str">
        <f t="shared" si="7"/>
        <v>E3</v>
      </c>
      <c r="M136" s="1" t="str">
        <f t="shared" si="8"/>
        <v>0x00E3</v>
      </c>
    </row>
    <row r="137" spans="1:13" ht="60.75" x14ac:dyDescent="0.25">
      <c r="A137" s="16" t="s">
        <v>132</v>
      </c>
      <c r="B137" s="15" t="s">
        <v>10</v>
      </c>
      <c r="C137" s="5">
        <v>229</v>
      </c>
      <c r="D137" s="5" t="s">
        <v>1278</v>
      </c>
      <c r="E137" s="16">
        <v>1</v>
      </c>
      <c r="F137" s="6" t="s">
        <v>639</v>
      </c>
      <c r="G137" s="10" t="s">
        <v>95</v>
      </c>
      <c r="H137" s="10" t="s">
        <v>177</v>
      </c>
      <c r="I137" s="10" t="s">
        <v>97</v>
      </c>
      <c r="J137" s="29" t="s">
        <v>1019</v>
      </c>
      <c r="K137" s="1">
        <f t="shared" si="6"/>
        <v>228</v>
      </c>
      <c r="L137" s="1" t="str">
        <f t="shared" si="7"/>
        <v>E4</v>
      </c>
      <c r="M137" s="1" t="str">
        <f t="shared" si="8"/>
        <v>0x00E4</v>
      </c>
    </row>
    <row r="138" spans="1:13" ht="40.5" x14ac:dyDescent="0.25">
      <c r="A138" s="16" t="s">
        <v>140</v>
      </c>
      <c r="B138" s="15" t="s">
        <v>10</v>
      </c>
      <c r="C138" s="5">
        <v>230</v>
      </c>
      <c r="D138" s="5" t="s">
        <v>1279</v>
      </c>
      <c r="E138" s="16">
        <v>1</v>
      </c>
      <c r="F138" s="6" t="s">
        <v>644</v>
      </c>
      <c r="G138" s="10" t="s">
        <v>95</v>
      </c>
      <c r="H138" s="10" t="s">
        <v>177</v>
      </c>
      <c r="I138" s="10" t="s">
        <v>97</v>
      </c>
      <c r="J138" s="29" t="s">
        <v>1019</v>
      </c>
      <c r="K138" s="1">
        <f t="shared" si="6"/>
        <v>229</v>
      </c>
      <c r="L138" s="1" t="str">
        <f t="shared" si="7"/>
        <v>E5</v>
      </c>
      <c r="M138" s="1" t="str">
        <f t="shared" si="8"/>
        <v>0x00E5</v>
      </c>
    </row>
    <row r="139" spans="1:13" ht="40.5" x14ac:dyDescent="0.25">
      <c r="A139" s="16" t="s">
        <v>219</v>
      </c>
      <c r="B139" s="15" t="s">
        <v>10</v>
      </c>
      <c r="C139" s="5">
        <v>231</v>
      </c>
      <c r="D139" s="5" t="s">
        <v>1280</v>
      </c>
      <c r="E139" s="16">
        <v>1</v>
      </c>
      <c r="F139" s="6" t="s">
        <v>783</v>
      </c>
      <c r="G139" s="10" t="s">
        <v>95</v>
      </c>
      <c r="H139" s="10" t="s">
        <v>177</v>
      </c>
      <c r="I139" s="10" t="s">
        <v>97</v>
      </c>
      <c r="J139" s="29" t="s">
        <v>1019</v>
      </c>
      <c r="K139" s="1">
        <f t="shared" si="6"/>
        <v>230</v>
      </c>
      <c r="L139" s="1" t="str">
        <f t="shared" si="7"/>
        <v>E6</v>
      </c>
      <c r="M139" s="1" t="str">
        <f t="shared" si="8"/>
        <v>0x00E6</v>
      </c>
    </row>
    <row r="140" spans="1:13" ht="40.5" x14ac:dyDescent="0.25">
      <c r="A140" s="16" t="s">
        <v>165</v>
      </c>
      <c r="B140" s="15" t="s">
        <v>10</v>
      </c>
      <c r="C140" s="5">
        <v>232</v>
      </c>
      <c r="D140" s="5" t="s">
        <v>1281</v>
      </c>
      <c r="E140" s="16">
        <v>1</v>
      </c>
      <c r="F140" s="6" t="s">
        <v>772</v>
      </c>
      <c r="G140" s="10" t="s">
        <v>166</v>
      </c>
      <c r="H140" s="10" t="s">
        <v>177</v>
      </c>
      <c r="I140" s="10" t="s">
        <v>167</v>
      </c>
      <c r="J140" s="29" t="s">
        <v>1029</v>
      </c>
      <c r="K140" s="1">
        <f t="shared" si="6"/>
        <v>231</v>
      </c>
      <c r="L140" s="1" t="str">
        <f t="shared" si="7"/>
        <v>E7</v>
      </c>
      <c r="M140" s="1" t="str">
        <f t="shared" si="8"/>
        <v>0x00E7</v>
      </c>
    </row>
    <row r="141" spans="1:13" ht="40.5" x14ac:dyDescent="0.25">
      <c r="A141" s="16" t="s">
        <v>162</v>
      </c>
      <c r="B141" s="15" t="s">
        <v>10</v>
      </c>
      <c r="C141" s="5">
        <v>233</v>
      </c>
      <c r="D141" s="5" t="s">
        <v>1282</v>
      </c>
      <c r="E141" s="16">
        <v>1</v>
      </c>
      <c r="F141" s="6" t="s">
        <v>727</v>
      </c>
      <c r="G141" s="10" t="s">
        <v>220</v>
      </c>
      <c r="H141" s="10" t="s">
        <v>177</v>
      </c>
      <c r="I141" s="10" t="s">
        <v>164</v>
      </c>
      <c r="J141" s="29" t="s">
        <v>1028</v>
      </c>
      <c r="K141" s="1">
        <f t="shared" si="6"/>
        <v>232</v>
      </c>
      <c r="L141" s="1" t="str">
        <f t="shared" si="7"/>
        <v>E8</v>
      </c>
      <c r="M141" s="1" t="str">
        <f t="shared" si="8"/>
        <v>0x00E8</v>
      </c>
    </row>
    <row r="142" spans="1:13" ht="40.5" x14ac:dyDescent="0.25">
      <c r="A142" s="16" t="s">
        <v>221</v>
      </c>
      <c r="B142" s="15" t="s">
        <v>10</v>
      </c>
      <c r="C142" s="5">
        <v>234</v>
      </c>
      <c r="D142" s="5" t="s">
        <v>1283</v>
      </c>
      <c r="E142" s="16">
        <v>1</v>
      </c>
      <c r="F142" s="6" t="s">
        <v>713</v>
      </c>
      <c r="G142" s="10" t="s">
        <v>166</v>
      </c>
      <c r="H142" s="10" t="s">
        <v>177</v>
      </c>
      <c r="I142" s="10" t="s">
        <v>167</v>
      </c>
      <c r="J142" s="29" t="s">
        <v>1029</v>
      </c>
      <c r="K142" s="1">
        <f t="shared" si="6"/>
        <v>233</v>
      </c>
      <c r="L142" s="1" t="str">
        <f t="shared" si="7"/>
        <v>E9</v>
      </c>
      <c r="M142" s="1" t="str">
        <f t="shared" si="8"/>
        <v>0x00E9</v>
      </c>
    </row>
    <row r="143" spans="1:13" ht="60.75" x14ac:dyDescent="0.25">
      <c r="A143" s="16" t="s">
        <v>161</v>
      </c>
      <c r="B143" s="15" t="s">
        <v>10</v>
      </c>
      <c r="C143" s="5">
        <v>235</v>
      </c>
      <c r="D143" s="5" t="s">
        <v>1284</v>
      </c>
      <c r="E143" s="16">
        <v>1</v>
      </c>
      <c r="F143" s="6" t="s">
        <v>725</v>
      </c>
      <c r="G143" s="10" t="s">
        <v>95</v>
      </c>
      <c r="H143" s="10" t="s">
        <v>177</v>
      </c>
      <c r="I143" s="10" t="s">
        <v>97</v>
      </c>
      <c r="J143" s="29" t="s">
        <v>1019</v>
      </c>
      <c r="K143" s="1">
        <f t="shared" si="6"/>
        <v>234</v>
      </c>
      <c r="L143" s="1" t="str">
        <f t="shared" si="7"/>
        <v>EA</v>
      </c>
      <c r="M143" s="1" t="str">
        <f t="shared" si="8"/>
        <v>0x00EA</v>
      </c>
    </row>
    <row r="144" spans="1:13" x14ac:dyDescent="0.25">
      <c r="A144" s="16" t="s">
        <v>133</v>
      </c>
      <c r="B144" s="15" t="s">
        <v>10</v>
      </c>
      <c r="C144" s="5">
        <v>236</v>
      </c>
      <c r="D144" s="5" t="s">
        <v>1285</v>
      </c>
      <c r="E144" s="16">
        <v>1</v>
      </c>
      <c r="F144" s="6" t="s">
        <v>133</v>
      </c>
      <c r="G144" s="10" t="s">
        <v>134</v>
      </c>
      <c r="H144" s="6">
        <v>0</v>
      </c>
      <c r="I144" s="10" t="s">
        <v>135</v>
      </c>
      <c r="J144" s="29" t="s">
        <v>1024</v>
      </c>
      <c r="K144" s="1">
        <f t="shared" si="6"/>
        <v>235</v>
      </c>
      <c r="L144" s="1" t="str">
        <f t="shared" si="7"/>
        <v>EB</v>
      </c>
      <c r="M144" s="1" t="str">
        <f t="shared" si="8"/>
        <v>0x00EB</v>
      </c>
    </row>
    <row r="145" spans="1:13" ht="60.75" x14ac:dyDescent="0.25">
      <c r="A145" s="16" t="s">
        <v>222</v>
      </c>
      <c r="B145" s="15" t="s">
        <v>10</v>
      </c>
      <c r="C145" s="5">
        <v>237</v>
      </c>
      <c r="D145" s="5" t="s">
        <v>1286</v>
      </c>
      <c r="E145" s="16">
        <v>1</v>
      </c>
      <c r="F145" s="6" t="s">
        <v>755</v>
      </c>
      <c r="G145" s="10" t="s">
        <v>166</v>
      </c>
      <c r="H145" s="10" t="s">
        <v>177</v>
      </c>
      <c r="I145" s="10" t="s">
        <v>167</v>
      </c>
      <c r="J145" s="29" t="s">
        <v>1029</v>
      </c>
      <c r="K145" s="1">
        <f t="shared" si="6"/>
        <v>236</v>
      </c>
      <c r="L145" s="1" t="str">
        <f t="shared" si="7"/>
        <v>EC</v>
      </c>
      <c r="M145" s="1" t="str">
        <f t="shared" si="8"/>
        <v>0x00EC</v>
      </c>
    </row>
    <row r="146" spans="1:13" ht="81" x14ac:dyDescent="0.25">
      <c r="A146" s="16" t="s">
        <v>223</v>
      </c>
      <c r="B146" s="15" t="s">
        <v>10</v>
      </c>
      <c r="C146" s="5">
        <v>238</v>
      </c>
      <c r="D146" s="5" t="s">
        <v>1287</v>
      </c>
      <c r="E146" s="16">
        <v>1</v>
      </c>
      <c r="F146" s="6" t="s">
        <v>764</v>
      </c>
      <c r="G146" s="6" t="s">
        <v>224</v>
      </c>
      <c r="H146" s="6">
        <v>0</v>
      </c>
      <c r="I146" s="10" t="s">
        <v>225</v>
      </c>
      <c r="J146" s="29" t="s">
        <v>1098</v>
      </c>
      <c r="K146" s="1">
        <f t="shared" si="6"/>
        <v>237</v>
      </c>
      <c r="L146" s="1" t="str">
        <f t="shared" si="7"/>
        <v>ED</v>
      </c>
      <c r="M146" s="1" t="str">
        <f t="shared" si="8"/>
        <v>0x00ED</v>
      </c>
    </row>
    <row r="147" spans="1:13" ht="60.75" x14ac:dyDescent="0.25">
      <c r="A147" s="16" t="s">
        <v>157</v>
      </c>
      <c r="B147" s="15" t="s">
        <v>10</v>
      </c>
      <c r="C147" s="5">
        <v>239</v>
      </c>
      <c r="D147" s="5" t="s">
        <v>1288</v>
      </c>
      <c r="E147" s="16">
        <v>1</v>
      </c>
      <c r="F147" s="6" t="s">
        <v>663</v>
      </c>
      <c r="G147" s="6" t="s">
        <v>158</v>
      </c>
      <c r="H147" s="6">
        <v>0</v>
      </c>
      <c r="I147" s="10" t="s">
        <v>160</v>
      </c>
      <c r="J147" s="29" t="s">
        <v>1027</v>
      </c>
      <c r="K147" s="1">
        <f t="shared" si="6"/>
        <v>238</v>
      </c>
      <c r="L147" s="1" t="str">
        <f t="shared" si="7"/>
        <v>EE</v>
      </c>
      <c r="M147" s="1" t="str">
        <f t="shared" si="8"/>
        <v>0x00EE</v>
      </c>
    </row>
    <row r="148" spans="1:13" ht="40.5" x14ac:dyDescent="0.25">
      <c r="A148" s="16" t="s">
        <v>153</v>
      </c>
      <c r="B148" s="15" t="s">
        <v>10</v>
      </c>
      <c r="C148" s="5">
        <v>240</v>
      </c>
      <c r="D148" s="5" t="s">
        <v>1289</v>
      </c>
      <c r="E148" s="16">
        <v>1</v>
      </c>
      <c r="F148" s="6" t="s">
        <v>819</v>
      </c>
      <c r="G148" s="10" t="s">
        <v>107</v>
      </c>
      <c r="H148" s="6">
        <v>-250</v>
      </c>
      <c r="I148" s="10" t="s">
        <v>109</v>
      </c>
      <c r="J148" s="29" t="s">
        <v>1021</v>
      </c>
      <c r="K148" s="1">
        <f t="shared" si="6"/>
        <v>239</v>
      </c>
      <c r="L148" s="1" t="str">
        <f t="shared" si="7"/>
        <v>EF</v>
      </c>
      <c r="M148" s="1" t="str">
        <f t="shared" si="8"/>
        <v>0x00EF</v>
      </c>
    </row>
    <row r="149" spans="1:13" ht="40.5" x14ac:dyDescent="0.25">
      <c r="A149" s="16" t="s">
        <v>154</v>
      </c>
      <c r="B149" s="15" t="s">
        <v>10</v>
      </c>
      <c r="C149" s="5">
        <v>241</v>
      </c>
      <c r="D149" s="5" t="s">
        <v>1290</v>
      </c>
      <c r="E149" s="16">
        <v>1</v>
      </c>
      <c r="F149" s="6" t="s">
        <v>820</v>
      </c>
      <c r="G149" s="10" t="s">
        <v>107</v>
      </c>
      <c r="H149" s="6">
        <v>-250</v>
      </c>
      <c r="I149" s="10" t="s">
        <v>109</v>
      </c>
      <c r="J149" s="29" t="s">
        <v>1021</v>
      </c>
      <c r="K149" s="1">
        <f t="shared" si="6"/>
        <v>240</v>
      </c>
      <c r="L149" s="1" t="str">
        <f t="shared" si="7"/>
        <v>F0</v>
      </c>
      <c r="M149" s="1" t="str">
        <f t="shared" si="8"/>
        <v>0x00F0</v>
      </c>
    </row>
    <row r="150" spans="1:13" ht="40.5" x14ac:dyDescent="0.25">
      <c r="A150" s="16" t="s">
        <v>226</v>
      </c>
      <c r="B150" s="15" t="s">
        <v>10</v>
      </c>
      <c r="C150" s="5">
        <v>242</v>
      </c>
      <c r="D150" s="5" t="s">
        <v>1291</v>
      </c>
      <c r="E150" s="16">
        <v>1</v>
      </c>
      <c r="F150" s="6" t="s">
        <v>750</v>
      </c>
      <c r="G150" s="10" t="s">
        <v>166</v>
      </c>
      <c r="H150" s="10" t="s">
        <v>177</v>
      </c>
      <c r="I150" s="10" t="s">
        <v>167</v>
      </c>
      <c r="J150" s="29" t="s">
        <v>1029</v>
      </c>
      <c r="K150" s="1">
        <f t="shared" si="6"/>
        <v>241</v>
      </c>
      <c r="L150" s="1" t="str">
        <f t="shared" si="7"/>
        <v>F1</v>
      </c>
      <c r="M150" s="1" t="str">
        <f t="shared" si="8"/>
        <v>0x00F1</v>
      </c>
    </row>
    <row r="151" spans="1:13" ht="40.5" x14ac:dyDescent="0.25">
      <c r="A151" s="16" t="s">
        <v>227</v>
      </c>
      <c r="B151" s="15" t="s">
        <v>10</v>
      </c>
      <c r="C151" s="5">
        <v>243</v>
      </c>
      <c r="D151" s="5" t="s">
        <v>1292</v>
      </c>
      <c r="E151" s="16">
        <v>1</v>
      </c>
      <c r="F151" s="6" t="s">
        <v>769</v>
      </c>
      <c r="G151" s="6" t="s">
        <v>166</v>
      </c>
      <c r="H151" s="6">
        <v>0</v>
      </c>
      <c r="I151" s="6" t="s">
        <v>228</v>
      </c>
      <c r="J151" s="29" t="s">
        <v>1099</v>
      </c>
      <c r="K151" s="1">
        <f t="shared" si="6"/>
        <v>242</v>
      </c>
      <c r="L151" s="1" t="str">
        <f t="shared" si="7"/>
        <v>F2</v>
      </c>
      <c r="M151" s="1" t="str">
        <f t="shared" si="8"/>
        <v>0x00F2</v>
      </c>
    </row>
    <row r="152" spans="1:13" x14ac:dyDescent="0.25">
      <c r="A152" s="16" t="s">
        <v>229</v>
      </c>
      <c r="B152" s="15" t="s">
        <v>10</v>
      </c>
      <c r="C152" s="5">
        <v>244</v>
      </c>
      <c r="D152" s="5" t="s">
        <v>1293</v>
      </c>
      <c r="E152" s="16">
        <v>1</v>
      </c>
      <c r="F152" s="16" t="s">
        <v>870</v>
      </c>
      <c r="G152" s="10" t="s">
        <v>230</v>
      </c>
      <c r="H152" s="10" t="s">
        <v>177</v>
      </c>
      <c r="I152" s="10" t="s">
        <v>231</v>
      </c>
      <c r="J152" s="29" t="s">
        <v>1100</v>
      </c>
      <c r="K152" s="1">
        <f t="shared" si="6"/>
        <v>243</v>
      </c>
      <c r="L152" s="1" t="str">
        <f t="shared" si="7"/>
        <v>F3</v>
      </c>
      <c r="M152" s="1" t="str">
        <f t="shared" si="8"/>
        <v>0x00F3</v>
      </c>
    </row>
    <row r="153" spans="1:13" ht="81" x14ac:dyDescent="0.25">
      <c r="A153" s="16" t="s">
        <v>119</v>
      </c>
      <c r="B153" s="15" t="s">
        <v>10</v>
      </c>
      <c r="C153" s="5">
        <v>245</v>
      </c>
      <c r="D153" s="5" t="s">
        <v>1294</v>
      </c>
      <c r="E153" s="16">
        <v>1</v>
      </c>
      <c r="F153" s="6" t="s">
        <v>640</v>
      </c>
      <c r="G153" s="10" t="s">
        <v>95</v>
      </c>
      <c r="H153" s="10" t="s">
        <v>177</v>
      </c>
      <c r="I153" s="10" t="s">
        <v>97</v>
      </c>
      <c r="J153" s="29" t="s">
        <v>1019</v>
      </c>
      <c r="K153" s="1">
        <f t="shared" si="6"/>
        <v>244</v>
      </c>
      <c r="L153" s="1" t="str">
        <f t="shared" si="7"/>
        <v>F4</v>
      </c>
      <c r="M153" s="1" t="str">
        <f t="shared" si="8"/>
        <v>0x00F4</v>
      </c>
    </row>
    <row r="154" spans="1:13" ht="60.75" x14ac:dyDescent="0.25">
      <c r="A154" s="16" t="s">
        <v>120</v>
      </c>
      <c r="B154" s="15" t="s">
        <v>10</v>
      </c>
      <c r="C154" s="5">
        <v>246</v>
      </c>
      <c r="D154" s="5" t="s">
        <v>1295</v>
      </c>
      <c r="E154" s="16">
        <v>1</v>
      </c>
      <c r="F154" s="6" t="s">
        <v>641</v>
      </c>
      <c r="G154" s="10" t="s">
        <v>95</v>
      </c>
      <c r="H154" s="10" t="s">
        <v>177</v>
      </c>
      <c r="I154" s="10" t="s">
        <v>97</v>
      </c>
      <c r="J154" s="29" t="s">
        <v>1019</v>
      </c>
      <c r="K154" s="1">
        <f t="shared" si="6"/>
        <v>245</v>
      </c>
      <c r="L154" s="1" t="str">
        <f t="shared" si="7"/>
        <v>F5</v>
      </c>
      <c r="M154" s="1" t="str">
        <f t="shared" si="8"/>
        <v>0x00F5</v>
      </c>
    </row>
    <row r="155" spans="1:13" ht="81" x14ac:dyDescent="0.25">
      <c r="A155" s="16" t="s">
        <v>106</v>
      </c>
      <c r="B155" s="15" t="s">
        <v>10</v>
      </c>
      <c r="C155" s="5">
        <v>247</v>
      </c>
      <c r="D155" s="5" t="s">
        <v>1296</v>
      </c>
      <c r="E155" s="16">
        <v>1</v>
      </c>
      <c r="F155" s="6" t="s">
        <v>826</v>
      </c>
      <c r="G155" s="10" t="s">
        <v>107</v>
      </c>
      <c r="H155" s="6">
        <v>-250</v>
      </c>
      <c r="I155" s="10" t="s">
        <v>109</v>
      </c>
      <c r="J155" s="29" t="s">
        <v>1021</v>
      </c>
      <c r="K155" s="1">
        <f t="shared" si="6"/>
        <v>246</v>
      </c>
      <c r="L155" s="1" t="str">
        <f t="shared" si="7"/>
        <v>F6</v>
      </c>
      <c r="M155" s="1" t="str">
        <f t="shared" si="8"/>
        <v>0x00F6</v>
      </c>
    </row>
    <row r="156" spans="1:13" ht="40.5" x14ac:dyDescent="0.25">
      <c r="A156" s="16" t="s">
        <v>172</v>
      </c>
      <c r="B156" s="15" t="s">
        <v>10</v>
      </c>
      <c r="C156" s="5">
        <v>248</v>
      </c>
      <c r="D156" s="5" t="s">
        <v>1297</v>
      </c>
      <c r="E156" s="16">
        <v>1</v>
      </c>
      <c r="F156" s="6" t="s">
        <v>728</v>
      </c>
      <c r="G156" s="10" t="s">
        <v>173</v>
      </c>
      <c r="H156" s="6">
        <v>0</v>
      </c>
      <c r="I156" s="10" t="s">
        <v>174</v>
      </c>
      <c r="J156" s="29" t="s">
        <v>1031</v>
      </c>
      <c r="K156" s="1">
        <f t="shared" si="6"/>
        <v>247</v>
      </c>
      <c r="L156" s="1" t="str">
        <f t="shared" si="7"/>
        <v>F7</v>
      </c>
      <c r="M156" s="1" t="str">
        <f t="shared" si="8"/>
        <v>0x00F7</v>
      </c>
    </row>
    <row r="157" spans="1:13" ht="40.5" x14ac:dyDescent="0.25">
      <c r="A157" s="16" t="s">
        <v>136</v>
      </c>
      <c r="B157" s="15" t="s">
        <v>10</v>
      </c>
      <c r="C157" s="5">
        <v>249</v>
      </c>
      <c r="D157" s="5" t="s">
        <v>1298</v>
      </c>
      <c r="E157" s="16">
        <v>1</v>
      </c>
      <c r="F157" s="6" t="s">
        <v>643</v>
      </c>
      <c r="G157" s="6" t="s">
        <v>137</v>
      </c>
      <c r="H157" s="10" t="s">
        <v>177</v>
      </c>
      <c r="I157" s="10" t="s">
        <v>139</v>
      </c>
      <c r="J157" s="29" t="s">
        <v>1025</v>
      </c>
      <c r="K157" s="1">
        <f t="shared" si="6"/>
        <v>248</v>
      </c>
      <c r="L157" s="1" t="str">
        <f t="shared" si="7"/>
        <v>F8</v>
      </c>
      <c r="M157" s="1" t="str">
        <f t="shared" si="8"/>
        <v>0x00F8</v>
      </c>
    </row>
    <row r="158" spans="1:13" ht="40.5" x14ac:dyDescent="0.25">
      <c r="A158" s="16" t="s">
        <v>111</v>
      </c>
      <c r="B158" s="15" t="s">
        <v>10</v>
      </c>
      <c r="C158" s="5">
        <v>250</v>
      </c>
      <c r="D158" s="5" t="s">
        <v>1299</v>
      </c>
      <c r="E158" s="16">
        <v>2</v>
      </c>
      <c r="F158" s="6" t="s">
        <v>642</v>
      </c>
      <c r="G158" s="6" t="s">
        <v>112</v>
      </c>
      <c r="H158" s="10" t="s">
        <v>113</v>
      </c>
      <c r="I158" s="10" t="s">
        <v>114</v>
      </c>
      <c r="J158" s="29" t="s">
        <v>1022</v>
      </c>
      <c r="K158" s="1">
        <f t="shared" si="6"/>
        <v>249</v>
      </c>
      <c r="L158" s="1" t="str">
        <f t="shared" si="7"/>
        <v>F9</v>
      </c>
      <c r="M158" s="1" t="str">
        <f t="shared" si="8"/>
        <v>0x00F9</v>
      </c>
    </row>
    <row r="159" spans="1:13" x14ac:dyDescent="0.25">
      <c r="A159" s="16" t="s">
        <v>232</v>
      </c>
      <c r="B159" s="15" t="s">
        <v>10</v>
      </c>
      <c r="C159" s="5">
        <v>252</v>
      </c>
      <c r="D159" s="5" t="s">
        <v>1300</v>
      </c>
      <c r="E159" s="16">
        <v>1</v>
      </c>
      <c r="F159" s="6" t="s">
        <v>666</v>
      </c>
      <c r="G159" s="6" t="s">
        <v>85</v>
      </c>
      <c r="H159" s="10" t="s">
        <v>86</v>
      </c>
      <c r="I159" s="10" t="s">
        <v>87</v>
      </c>
      <c r="J159" s="29" t="s">
        <v>1017</v>
      </c>
      <c r="K159" s="1">
        <f t="shared" si="6"/>
        <v>251</v>
      </c>
      <c r="L159" s="1" t="str">
        <f t="shared" si="7"/>
        <v>FB</v>
      </c>
      <c r="M159" s="1" t="str">
        <f t="shared" si="8"/>
        <v>0x00FB</v>
      </c>
    </row>
    <row r="160" spans="1:13" x14ac:dyDescent="0.25">
      <c r="A160" s="16" t="s">
        <v>192</v>
      </c>
      <c r="B160" s="15" t="s">
        <v>10</v>
      </c>
      <c r="C160" s="5">
        <v>253</v>
      </c>
      <c r="D160" s="5" t="s">
        <v>1301</v>
      </c>
      <c r="E160" s="16">
        <v>1</v>
      </c>
      <c r="F160" s="6" t="s">
        <v>621</v>
      </c>
      <c r="G160" s="6" t="s">
        <v>85</v>
      </c>
      <c r="H160" s="10" t="s">
        <v>86</v>
      </c>
      <c r="I160" s="10" t="s">
        <v>87</v>
      </c>
      <c r="J160" s="29" t="s">
        <v>1017</v>
      </c>
      <c r="K160" s="1">
        <f t="shared" si="6"/>
        <v>252</v>
      </c>
      <c r="L160" s="1" t="str">
        <f t="shared" si="7"/>
        <v>FC</v>
      </c>
      <c r="M160" s="1" t="str">
        <f t="shared" si="8"/>
        <v>0x00FC</v>
      </c>
    </row>
    <row r="161" spans="1:13" ht="40.5" x14ac:dyDescent="0.25">
      <c r="A161" s="16" t="s">
        <v>233</v>
      </c>
      <c r="B161" s="15" t="s">
        <v>10</v>
      </c>
      <c r="C161" s="5">
        <v>254</v>
      </c>
      <c r="D161" s="5" t="s">
        <v>1302</v>
      </c>
      <c r="E161" s="16">
        <v>1</v>
      </c>
      <c r="F161" s="6" t="s">
        <v>766</v>
      </c>
      <c r="G161" s="6" t="s">
        <v>234</v>
      </c>
      <c r="H161" s="6">
        <v>0</v>
      </c>
      <c r="I161" s="10" t="s">
        <v>235</v>
      </c>
      <c r="J161" s="29" t="s">
        <v>1101</v>
      </c>
      <c r="K161" s="1">
        <f t="shared" si="6"/>
        <v>253</v>
      </c>
      <c r="L161" s="1" t="str">
        <f t="shared" si="7"/>
        <v>FD</v>
      </c>
      <c r="M161" s="1" t="str">
        <f t="shared" si="8"/>
        <v>0x00FD</v>
      </c>
    </row>
    <row r="162" spans="1:13" ht="81" x14ac:dyDescent="0.25">
      <c r="A162" s="16" t="s">
        <v>236</v>
      </c>
      <c r="B162" s="15" t="s">
        <v>10</v>
      </c>
      <c r="C162" s="5">
        <v>255</v>
      </c>
      <c r="D162" s="5" t="s">
        <v>1303</v>
      </c>
      <c r="E162" s="16">
        <v>1</v>
      </c>
      <c r="F162" s="6" t="s">
        <v>726</v>
      </c>
      <c r="G162" s="10" t="s">
        <v>237</v>
      </c>
      <c r="H162" s="6">
        <v>0</v>
      </c>
      <c r="I162" s="10" t="s">
        <v>238</v>
      </c>
      <c r="J162" s="29" t="s">
        <v>1102</v>
      </c>
      <c r="K162" s="1">
        <f t="shared" si="6"/>
        <v>254</v>
      </c>
      <c r="L162" s="1" t="str">
        <f t="shared" si="7"/>
        <v>FE</v>
      </c>
      <c r="M162" s="1" t="str">
        <f t="shared" si="8"/>
        <v>0x00FE</v>
      </c>
    </row>
    <row r="163" spans="1:13" ht="40.5" x14ac:dyDescent="0.25">
      <c r="A163" s="16" t="s">
        <v>239</v>
      </c>
      <c r="B163" s="15" t="s">
        <v>10</v>
      </c>
      <c r="C163" s="5">
        <v>256</v>
      </c>
      <c r="D163" s="5" t="s">
        <v>1304</v>
      </c>
      <c r="E163" s="16">
        <v>1</v>
      </c>
      <c r="F163" s="6" t="s">
        <v>723</v>
      </c>
      <c r="G163" s="6" t="s">
        <v>240</v>
      </c>
      <c r="H163" s="6">
        <v>0</v>
      </c>
      <c r="I163" s="10" t="s">
        <v>241</v>
      </c>
      <c r="J163" s="29" t="s">
        <v>1103</v>
      </c>
      <c r="K163" s="1">
        <f t="shared" si="6"/>
        <v>255</v>
      </c>
      <c r="L163" s="1" t="str">
        <f t="shared" si="7"/>
        <v>FF</v>
      </c>
      <c r="M163" s="1" t="str">
        <f t="shared" si="8"/>
        <v>0x00FF</v>
      </c>
    </row>
    <row r="164" spans="1:13" ht="40.5" x14ac:dyDescent="0.25">
      <c r="A164" s="16" t="s">
        <v>242</v>
      </c>
      <c r="B164" s="15" t="s">
        <v>10</v>
      </c>
      <c r="C164" s="5">
        <v>257</v>
      </c>
      <c r="D164" s="5" t="s">
        <v>1305</v>
      </c>
      <c r="E164" s="16">
        <v>1</v>
      </c>
      <c r="F164" s="6" t="s">
        <v>722</v>
      </c>
      <c r="G164" s="10" t="s">
        <v>243</v>
      </c>
      <c r="H164" s="6">
        <v>0</v>
      </c>
      <c r="I164" s="10" t="s">
        <v>244</v>
      </c>
      <c r="J164" s="29" t="s">
        <v>1104</v>
      </c>
      <c r="K164" s="1">
        <f t="shared" si="6"/>
        <v>256</v>
      </c>
      <c r="L164" s="1" t="str">
        <f t="shared" si="7"/>
        <v>100</v>
      </c>
      <c r="M164" s="1" t="str">
        <f t="shared" si="8"/>
        <v>0x00100</v>
      </c>
    </row>
    <row r="165" spans="1:13" ht="60.75" x14ac:dyDescent="0.25">
      <c r="A165" s="16" t="s">
        <v>245</v>
      </c>
      <c r="B165" s="15" t="s">
        <v>10</v>
      </c>
      <c r="C165" s="5">
        <v>258</v>
      </c>
      <c r="D165" s="5" t="s">
        <v>1306</v>
      </c>
      <c r="E165" s="16">
        <v>1</v>
      </c>
      <c r="F165" s="6" t="s">
        <v>749</v>
      </c>
      <c r="G165" s="10" t="s">
        <v>237</v>
      </c>
      <c r="H165" s="6">
        <v>0</v>
      </c>
      <c r="I165" s="10" t="s">
        <v>238</v>
      </c>
      <c r="J165" s="29" t="s">
        <v>1102</v>
      </c>
      <c r="K165" s="1">
        <f t="shared" si="6"/>
        <v>257</v>
      </c>
      <c r="L165" s="1" t="str">
        <f t="shared" si="7"/>
        <v>101</v>
      </c>
      <c r="M165" s="1" t="str">
        <f t="shared" si="8"/>
        <v>0x00101</v>
      </c>
    </row>
    <row r="166" spans="1:13" ht="60.75" x14ac:dyDescent="0.25">
      <c r="A166" s="16" t="s">
        <v>168</v>
      </c>
      <c r="B166" s="15" t="s">
        <v>10</v>
      </c>
      <c r="C166" s="5">
        <v>259</v>
      </c>
      <c r="D166" s="5" t="s">
        <v>1307</v>
      </c>
      <c r="E166" s="16">
        <v>1</v>
      </c>
      <c r="F166" s="6" t="s">
        <v>714</v>
      </c>
      <c r="G166" s="6" t="s">
        <v>169</v>
      </c>
      <c r="H166" s="6">
        <v>0</v>
      </c>
      <c r="I166" s="10" t="s">
        <v>171</v>
      </c>
      <c r="J166" s="29" t="s">
        <v>1030</v>
      </c>
      <c r="K166" s="1">
        <f t="shared" si="6"/>
        <v>258</v>
      </c>
      <c r="L166" s="1" t="str">
        <f t="shared" si="7"/>
        <v>102</v>
      </c>
      <c r="M166" s="1" t="str">
        <f t="shared" si="8"/>
        <v>0x00102</v>
      </c>
    </row>
    <row r="167" spans="1:13" ht="40.5" x14ac:dyDescent="0.25">
      <c r="A167" s="16" t="s">
        <v>246</v>
      </c>
      <c r="B167" s="15" t="s">
        <v>10</v>
      </c>
      <c r="C167" s="5">
        <v>260</v>
      </c>
      <c r="D167" s="5" t="s">
        <v>1308</v>
      </c>
      <c r="E167" s="16">
        <v>1</v>
      </c>
      <c r="F167" s="6" t="s">
        <v>754</v>
      </c>
      <c r="G167" s="10" t="s">
        <v>166</v>
      </c>
      <c r="H167" s="10" t="s">
        <v>177</v>
      </c>
      <c r="I167" s="10" t="s">
        <v>167</v>
      </c>
      <c r="J167" s="29" t="s">
        <v>1029</v>
      </c>
      <c r="K167" s="1">
        <f t="shared" si="6"/>
        <v>259</v>
      </c>
      <c r="L167" s="1" t="str">
        <f t="shared" si="7"/>
        <v>103</v>
      </c>
      <c r="M167" s="1" t="str">
        <f t="shared" si="8"/>
        <v>0x00103</v>
      </c>
    </row>
    <row r="168" spans="1:13" ht="60.75" x14ac:dyDescent="0.25">
      <c r="A168" s="16" t="s">
        <v>247</v>
      </c>
      <c r="B168" s="15" t="s">
        <v>10</v>
      </c>
      <c r="C168" s="5">
        <v>261</v>
      </c>
      <c r="D168" s="5" t="s">
        <v>1309</v>
      </c>
      <c r="E168" s="16">
        <v>1</v>
      </c>
      <c r="F168" s="6" t="s">
        <v>763</v>
      </c>
      <c r="G168" s="6" t="s">
        <v>224</v>
      </c>
      <c r="H168" s="6">
        <v>0</v>
      </c>
      <c r="I168" s="10" t="s">
        <v>225</v>
      </c>
      <c r="J168" s="29" t="s">
        <v>1098</v>
      </c>
      <c r="K168" s="1">
        <f t="shared" si="6"/>
        <v>260</v>
      </c>
      <c r="L168" s="1" t="str">
        <f t="shared" si="7"/>
        <v>104</v>
      </c>
      <c r="M168" s="1" t="str">
        <f t="shared" si="8"/>
        <v>0x00104</v>
      </c>
    </row>
    <row r="169" spans="1:13" ht="40.5" x14ac:dyDescent="0.25">
      <c r="A169" s="16" t="s">
        <v>248</v>
      </c>
      <c r="B169" s="15" t="s">
        <v>10</v>
      </c>
      <c r="C169" s="5">
        <v>262</v>
      </c>
      <c r="D169" s="5" t="s">
        <v>1310</v>
      </c>
      <c r="E169" s="16">
        <v>1</v>
      </c>
      <c r="F169" s="16" t="s">
        <v>871</v>
      </c>
      <c r="G169" s="6" t="s">
        <v>158</v>
      </c>
      <c r="H169" s="6">
        <v>0</v>
      </c>
      <c r="I169" s="10" t="s">
        <v>160</v>
      </c>
      <c r="J169" s="29" t="s">
        <v>1027</v>
      </c>
      <c r="K169" s="1">
        <f t="shared" si="6"/>
        <v>261</v>
      </c>
      <c r="L169" s="1" t="str">
        <f t="shared" si="7"/>
        <v>105</v>
      </c>
      <c r="M169" s="1" t="str">
        <f t="shared" si="8"/>
        <v>0x00105</v>
      </c>
    </row>
    <row r="170" spans="1:13" x14ac:dyDescent="0.25">
      <c r="A170" s="16" t="s">
        <v>249</v>
      </c>
      <c r="B170" s="15" t="s">
        <v>10</v>
      </c>
      <c r="C170" s="5">
        <v>263</v>
      </c>
      <c r="D170" s="5" t="s">
        <v>1311</v>
      </c>
      <c r="E170" s="16">
        <v>1</v>
      </c>
      <c r="F170" s="6" t="s">
        <v>650</v>
      </c>
      <c r="G170" s="6" t="s">
        <v>158</v>
      </c>
      <c r="H170" s="6">
        <v>0</v>
      </c>
      <c r="I170" s="10" t="s">
        <v>160</v>
      </c>
      <c r="J170" s="29" t="s">
        <v>1027</v>
      </c>
      <c r="K170" s="1">
        <f t="shared" si="6"/>
        <v>262</v>
      </c>
      <c r="L170" s="1" t="str">
        <f t="shared" si="7"/>
        <v>106</v>
      </c>
      <c r="M170" s="1" t="str">
        <f t="shared" si="8"/>
        <v>0x00106</v>
      </c>
    </row>
    <row r="171" spans="1:13" ht="40.5" x14ac:dyDescent="0.25">
      <c r="A171" s="16" t="s">
        <v>250</v>
      </c>
      <c r="B171" s="15" t="s">
        <v>10</v>
      </c>
      <c r="C171" s="5">
        <v>264</v>
      </c>
      <c r="D171" s="5" t="s">
        <v>1312</v>
      </c>
      <c r="E171" s="16">
        <v>1</v>
      </c>
      <c r="F171" s="6" t="s">
        <v>651</v>
      </c>
      <c r="G171" s="10" t="s">
        <v>150</v>
      </c>
      <c r="H171" s="6">
        <v>-40</v>
      </c>
      <c r="I171" s="10" t="s">
        <v>152</v>
      </c>
      <c r="J171" s="29" t="s">
        <v>1026</v>
      </c>
      <c r="K171" s="1">
        <f t="shared" si="6"/>
        <v>263</v>
      </c>
      <c r="L171" s="1" t="str">
        <f t="shared" si="7"/>
        <v>107</v>
      </c>
      <c r="M171" s="1" t="str">
        <f t="shared" si="8"/>
        <v>0x00107</v>
      </c>
    </row>
    <row r="172" spans="1:13" x14ac:dyDescent="0.25">
      <c r="A172" s="16" t="s">
        <v>251</v>
      </c>
      <c r="B172" s="15" t="s">
        <v>10</v>
      </c>
      <c r="C172" s="5">
        <v>265</v>
      </c>
      <c r="D172" s="5" t="s">
        <v>1313</v>
      </c>
      <c r="E172" s="16">
        <v>1</v>
      </c>
      <c r="F172" s="6" t="s">
        <v>652</v>
      </c>
      <c r="G172" s="10" t="s">
        <v>166</v>
      </c>
      <c r="H172" s="10" t="s">
        <v>177</v>
      </c>
      <c r="I172" s="10" t="s">
        <v>167</v>
      </c>
      <c r="J172" s="29" t="s">
        <v>1029</v>
      </c>
      <c r="K172" s="1">
        <f t="shared" si="6"/>
        <v>264</v>
      </c>
      <c r="L172" s="1" t="str">
        <f t="shared" si="7"/>
        <v>108</v>
      </c>
      <c r="M172" s="1" t="str">
        <f t="shared" si="8"/>
        <v>0x00108</v>
      </c>
    </row>
    <row r="173" spans="1:13" ht="40.5" x14ac:dyDescent="0.25">
      <c r="A173" s="16" t="s">
        <v>252</v>
      </c>
      <c r="B173" s="15" t="s">
        <v>10</v>
      </c>
      <c r="C173" s="5">
        <v>266</v>
      </c>
      <c r="D173" s="5" t="s">
        <v>1314</v>
      </c>
      <c r="E173" s="16">
        <v>1</v>
      </c>
      <c r="F173" s="6" t="s">
        <v>653</v>
      </c>
      <c r="G173" s="10" t="s">
        <v>99</v>
      </c>
      <c r="H173" s="10" t="s">
        <v>201</v>
      </c>
      <c r="I173" s="10" t="s">
        <v>101</v>
      </c>
      <c r="J173" s="29" t="s">
        <v>1020</v>
      </c>
      <c r="K173" s="1">
        <f t="shared" si="6"/>
        <v>265</v>
      </c>
      <c r="L173" s="1" t="str">
        <f t="shared" si="7"/>
        <v>109</v>
      </c>
      <c r="M173" s="1" t="str">
        <f t="shared" si="8"/>
        <v>0x00109</v>
      </c>
    </row>
    <row r="174" spans="1:13" ht="40.5" x14ac:dyDescent="0.25">
      <c r="A174" s="16" t="s">
        <v>253</v>
      </c>
      <c r="B174" s="15" t="s">
        <v>10</v>
      </c>
      <c r="C174" s="5">
        <v>267</v>
      </c>
      <c r="D174" s="5" t="s">
        <v>1315</v>
      </c>
      <c r="E174" s="16">
        <v>1</v>
      </c>
      <c r="F174" s="6" t="s">
        <v>654</v>
      </c>
      <c r="G174" s="10" t="s">
        <v>166</v>
      </c>
      <c r="H174" s="10" t="s">
        <v>177</v>
      </c>
      <c r="I174" s="10" t="s">
        <v>167</v>
      </c>
      <c r="J174" s="29" t="s">
        <v>1029</v>
      </c>
      <c r="K174" s="1">
        <f t="shared" si="6"/>
        <v>266</v>
      </c>
      <c r="L174" s="1" t="str">
        <f t="shared" si="7"/>
        <v>10A</v>
      </c>
      <c r="M174" s="1" t="str">
        <f t="shared" si="8"/>
        <v>0x0010A</v>
      </c>
    </row>
    <row r="175" spans="1:13" x14ac:dyDescent="0.25">
      <c r="A175" s="16" t="s">
        <v>254</v>
      </c>
      <c r="B175" s="15" t="s">
        <v>10</v>
      </c>
      <c r="C175" s="5">
        <v>268</v>
      </c>
      <c r="D175" s="5" t="s">
        <v>1316</v>
      </c>
      <c r="E175" s="16">
        <v>1</v>
      </c>
      <c r="F175" s="6" t="s">
        <v>656</v>
      </c>
      <c r="G175" s="10" t="s">
        <v>237</v>
      </c>
      <c r="H175" s="6">
        <v>0</v>
      </c>
      <c r="I175" s="10" t="s">
        <v>238</v>
      </c>
      <c r="J175" s="29" t="s">
        <v>1102</v>
      </c>
      <c r="K175" s="1">
        <f t="shared" si="6"/>
        <v>267</v>
      </c>
      <c r="L175" s="1" t="str">
        <f t="shared" si="7"/>
        <v>10B</v>
      </c>
      <c r="M175" s="1" t="str">
        <f t="shared" si="8"/>
        <v>0x0010B</v>
      </c>
    </row>
    <row r="176" spans="1:13" ht="344.25" x14ac:dyDescent="0.25">
      <c r="A176" s="16" t="s">
        <v>255</v>
      </c>
      <c r="B176" s="15" t="s">
        <v>10</v>
      </c>
      <c r="C176" s="5">
        <v>269</v>
      </c>
      <c r="D176" s="5" t="s">
        <v>1317</v>
      </c>
      <c r="E176" s="16">
        <v>1</v>
      </c>
      <c r="F176" s="6" t="s">
        <v>655</v>
      </c>
      <c r="G176" s="6" t="s">
        <v>256</v>
      </c>
      <c r="H176" s="6"/>
      <c r="I176" s="6"/>
      <c r="J176" s="29" t="s">
        <v>255</v>
      </c>
      <c r="K176" s="1">
        <f t="shared" si="6"/>
        <v>268</v>
      </c>
      <c r="L176" s="1" t="str">
        <f t="shared" si="7"/>
        <v>10C</v>
      </c>
      <c r="M176" s="1" t="str">
        <f t="shared" si="8"/>
        <v>0x0010C</v>
      </c>
    </row>
    <row r="177" spans="1:13" ht="40.5" x14ac:dyDescent="0.25">
      <c r="A177" s="16" t="s">
        <v>257</v>
      </c>
      <c r="B177" s="15" t="s">
        <v>10</v>
      </c>
      <c r="C177" s="5">
        <v>270</v>
      </c>
      <c r="D177" s="5" t="s">
        <v>1318</v>
      </c>
      <c r="E177" s="16">
        <v>1</v>
      </c>
      <c r="F177" s="6" t="s">
        <v>974</v>
      </c>
      <c r="G177" s="10" t="s">
        <v>150</v>
      </c>
      <c r="H177" s="6">
        <v>-40</v>
      </c>
      <c r="I177" s="10" t="s">
        <v>152</v>
      </c>
      <c r="J177" s="29" t="s">
        <v>1026</v>
      </c>
      <c r="K177" s="1">
        <f t="shared" si="6"/>
        <v>269</v>
      </c>
      <c r="L177" s="1" t="str">
        <f t="shared" si="7"/>
        <v>10D</v>
      </c>
      <c r="M177" s="1" t="str">
        <f t="shared" si="8"/>
        <v>0x0010D</v>
      </c>
    </row>
    <row r="178" spans="1:13" ht="40.5" x14ac:dyDescent="0.25">
      <c r="A178" s="16" t="s">
        <v>258</v>
      </c>
      <c r="B178" s="15" t="s">
        <v>10</v>
      </c>
      <c r="C178" s="5">
        <v>271</v>
      </c>
      <c r="D178" s="5" t="s">
        <v>1319</v>
      </c>
      <c r="E178" s="16">
        <v>2</v>
      </c>
      <c r="F178" s="16" t="s">
        <v>872</v>
      </c>
      <c r="G178" s="6" t="s">
        <v>112</v>
      </c>
      <c r="H178" s="10" t="s">
        <v>113</v>
      </c>
      <c r="I178" s="10" t="s">
        <v>114</v>
      </c>
      <c r="J178" s="29" t="s">
        <v>1022</v>
      </c>
      <c r="K178" s="1">
        <f t="shared" si="6"/>
        <v>270</v>
      </c>
      <c r="L178" s="1" t="str">
        <f t="shared" si="7"/>
        <v>10E</v>
      </c>
      <c r="M178" s="1" t="str">
        <f t="shared" si="8"/>
        <v>0x0010E</v>
      </c>
    </row>
    <row r="179" spans="1:13" x14ac:dyDescent="0.25">
      <c r="A179" s="16" t="s">
        <v>259</v>
      </c>
      <c r="B179" s="15" t="s">
        <v>10</v>
      </c>
      <c r="C179" s="5">
        <v>273</v>
      </c>
      <c r="D179" s="5" t="s">
        <v>1320</v>
      </c>
      <c r="E179" s="16">
        <v>1</v>
      </c>
      <c r="F179" s="6" t="s">
        <v>657</v>
      </c>
      <c r="G179" s="10" t="s">
        <v>260</v>
      </c>
      <c r="H179" s="10" t="s">
        <v>261</v>
      </c>
      <c r="I179" s="10" t="s">
        <v>262</v>
      </c>
      <c r="J179" s="29" t="s">
        <v>1105</v>
      </c>
      <c r="K179" s="1">
        <f t="shared" si="6"/>
        <v>272</v>
      </c>
      <c r="L179" s="1" t="str">
        <f t="shared" si="7"/>
        <v>110</v>
      </c>
      <c r="M179" s="1" t="str">
        <f t="shared" si="8"/>
        <v>0x00110</v>
      </c>
    </row>
    <row r="180" spans="1:13" x14ac:dyDescent="0.25">
      <c r="A180" s="16" t="s">
        <v>263</v>
      </c>
      <c r="B180" s="15" t="s">
        <v>10</v>
      </c>
      <c r="C180" s="5">
        <v>274</v>
      </c>
      <c r="D180" s="5" t="s">
        <v>1321</v>
      </c>
      <c r="E180" s="16">
        <v>1</v>
      </c>
      <c r="F180" s="6" t="s">
        <v>658</v>
      </c>
      <c r="G180" s="10" t="s">
        <v>264</v>
      </c>
      <c r="H180" s="10" t="s">
        <v>261</v>
      </c>
      <c r="I180" s="10" t="s">
        <v>265</v>
      </c>
      <c r="J180" s="29" t="s">
        <v>1106</v>
      </c>
      <c r="K180" s="1">
        <f t="shared" si="6"/>
        <v>273</v>
      </c>
      <c r="L180" s="1" t="str">
        <f t="shared" si="7"/>
        <v>111</v>
      </c>
      <c r="M180" s="1" t="str">
        <f t="shared" si="8"/>
        <v>0x00111</v>
      </c>
    </row>
    <row r="181" spans="1:13" ht="162" x14ac:dyDescent="0.25">
      <c r="A181" s="16" t="s">
        <v>266</v>
      </c>
      <c r="B181" s="15" t="s">
        <v>10</v>
      </c>
      <c r="C181" s="5">
        <v>275</v>
      </c>
      <c r="D181" s="5" t="s">
        <v>1322</v>
      </c>
      <c r="E181" s="16">
        <v>1</v>
      </c>
      <c r="F181" s="6" t="s">
        <v>659</v>
      </c>
      <c r="G181" s="6" t="s">
        <v>267</v>
      </c>
      <c r="H181" s="6"/>
      <c r="I181" s="6"/>
      <c r="J181" s="29" t="s">
        <v>266</v>
      </c>
      <c r="K181" s="1">
        <f t="shared" si="6"/>
        <v>274</v>
      </c>
      <c r="L181" s="1" t="str">
        <f t="shared" si="7"/>
        <v>112</v>
      </c>
      <c r="M181" s="1" t="str">
        <f t="shared" si="8"/>
        <v>0x00112</v>
      </c>
    </row>
    <row r="182" spans="1:13" ht="51" x14ac:dyDescent="0.25">
      <c r="A182" s="16" t="s">
        <v>268</v>
      </c>
      <c r="B182" s="15" t="s">
        <v>10</v>
      </c>
      <c r="C182" s="5">
        <v>276</v>
      </c>
      <c r="D182" s="5" t="s">
        <v>1323</v>
      </c>
      <c r="E182" s="16">
        <v>1</v>
      </c>
      <c r="F182" s="6" t="s">
        <v>649</v>
      </c>
      <c r="G182" s="10" t="s">
        <v>269</v>
      </c>
      <c r="H182" s="10" t="s">
        <v>177</v>
      </c>
      <c r="I182" s="10" t="s">
        <v>270</v>
      </c>
      <c r="J182" s="29" t="s">
        <v>268</v>
      </c>
      <c r="K182" s="1">
        <f t="shared" si="6"/>
        <v>275</v>
      </c>
      <c r="L182" s="1" t="str">
        <f t="shared" si="7"/>
        <v>113</v>
      </c>
      <c r="M182" s="1" t="str">
        <f t="shared" si="8"/>
        <v>0x00113</v>
      </c>
    </row>
    <row r="183" spans="1:13" ht="60.75" x14ac:dyDescent="0.25">
      <c r="A183" s="16" t="s">
        <v>271</v>
      </c>
      <c r="B183" s="15" t="s">
        <v>10</v>
      </c>
      <c r="C183" s="5">
        <v>277</v>
      </c>
      <c r="D183" s="5" t="s">
        <v>1324</v>
      </c>
      <c r="E183" s="16">
        <v>1</v>
      </c>
      <c r="F183" s="16" t="s">
        <v>873</v>
      </c>
      <c r="G183" s="10" t="s">
        <v>237</v>
      </c>
      <c r="H183" s="10" t="s">
        <v>96</v>
      </c>
      <c r="I183" s="6"/>
      <c r="J183" s="29" t="s">
        <v>1102</v>
      </c>
      <c r="K183" s="1">
        <f t="shared" si="6"/>
        <v>276</v>
      </c>
      <c r="L183" s="1" t="str">
        <f t="shared" si="7"/>
        <v>114</v>
      </c>
      <c r="M183" s="1" t="str">
        <f t="shared" si="8"/>
        <v>0x00114</v>
      </c>
    </row>
    <row r="184" spans="1:13" ht="60.75" x14ac:dyDescent="0.25">
      <c r="A184" s="16" t="s">
        <v>272</v>
      </c>
      <c r="B184" s="15" t="s">
        <v>10</v>
      </c>
      <c r="C184" s="5">
        <v>278</v>
      </c>
      <c r="D184" s="5" t="s">
        <v>1325</v>
      </c>
      <c r="E184" s="16">
        <v>1</v>
      </c>
      <c r="F184" s="6" t="s">
        <v>774</v>
      </c>
      <c r="G184" s="6" t="s">
        <v>975</v>
      </c>
      <c r="H184" s="6"/>
      <c r="I184" s="6"/>
      <c r="J184" s="29" t="s">
        <v>272</v>
      </c>
      <c r="K184" s="1">
        <f t="shared" si="6"/>
        <v>277</v>
      </c>
      <c r="L184" s="1" t="str">
        <f t="shared" si="7"/>
        <v>115</v>
      </c>
      <c r="M184" s="1" t="str">
        <f t="shared" si="8"/>
        <v>0x00115</v>
      </c>
    </row>
    <row r="185" spans="1:13" ht="60.75" x14ac:dyDescent="0.25">
      <c r="A185" s="16" t="s">
        <v>273</v>
      </c>
      <c r="B185" s="15" t="s">
        <v>10</v>
      </c>
      <c r="C185" s="5">
        <v>279</v>
      </c>
      <c r="D185" s="5" t="s">
        <v>1326</v>
      </c>
      <c r="E185" s="16">
        <v>1</v>
      </c>
      <c r="F185" s="6" t="s">
        <v>775</v>
      </c>
      <c r="G185" s="6" t="s">
        <v>85</v>
      </c>
      <c r="H185" s="10" t="s">
        <v>86</v>
      </c>
      <c r="I185" s="10" t="s">
        <v>87</v>
      </c>
      <c r="J185" s="29" t="s">
        <v>1017</v>
      </c>
      <c r="K185" s="1">
        <f t="shared" si="6"/>
        <v>278</v>
      </c>
      <c r="L185" s="1" t="str">
        <f t="shared" si="7"/>
        <v>116</v>
      </c>
      <c r="M185" s="1" t="str">
        <f t="shared" si="8"/>
        <v>0x00116</v>
      </c>
    </row>
    <row r="186" spans="1:13" ht="121.5" x14ac:dyDescent="0.25">
      <c r="A186" s="16" t="s">
        <v>274</v>
      </c>
      <c r="B186" s="15" t="s">
        <v>10</v>
      </c>
      <c r="C186" s="5">
        <v>280</v>
      </c>
      <c r="D186" s="5" t="s">
        <v>1327</v>
      </c>
      <c r="E186" s="16">
        <v>1</v>
      </c>
      <c r="F186" s="6" t="s">
        <v>777</v>
      </c>
      <c r="G186" s="6" t="s">
        <v>275</v>
      </c>
      <c r="H186" s="6"/>
      <c r="I186" s="6"/>
      <c r="J186" s="29" t="s">
        <v>274</v>
      </c>
      <c r="K186" s="1">
        <f t="shared" si="6"/>
        <v>279</v>
      </c>
      <c r="L186" s="1" t="str">
        <f t="shared" si="7"/>
        <v>117</v>
      </c>
      <c r="M186" s="1" t="str">
        <f t="shared" si="8"/>
        <v>0x00117</v>
      </c>
    </row>
    <row r="187" spans="1:13" ht="40.5" x14ac:dyDescent="0.25">
      <c r="A187" s="16" t="s">
        <v>276</v>
      </c>
      <c r="B187" s="15" t="s">
        <v>10</v>
      </c>
      <c r="C187" s="5">
        <v>281</v>
      </c>
      <c r="D187" s="5" t="s">
        <v>1328</v>
      </c>
      <c r="E187" s="16">
        <v>1</v>
      </c>
      <c r="F187" s="6" t="s">
        <v>776</v>
      </c>
      <c r="G187" s="6" t="s">
        <v>85</v>
      </c>
      <c r="H187" s="10" t="s">
        <v>86</v>
      </c>
      <c r="I187" s="10" t="s">
        <v>87</v>
      </c>
      <c r="J187" s="29" t="s">
        <v>1017</v>
      </c>
      <c r="K187" s="1">
        <f t="shared" si="6"/>
        <v>280</v>
      </c>
      <c r="L187" s="1" t="str">
        <f t="shared" si="7"/>
        <v>118</v>
      </c>
      <c r="M187" s="1" t="str">
        <f t="shared" si="8"/>
        <v>0x00118</v>
      </c>
    </row>
    <row r="188" spans="1:13" ht="81" x14ac:dyDescent="0.25">
      <c r="A188" s="16" t="s">
        <v>279</v>
      </c>
      <c r="B188" s="15" t="s">
        <v>10</v>
      </c>
      <c r="C188" s="5">
        <v>282</v>
      </c>
      <c r="D188" s="5" t="s">
        <v>1329</v>
      </c>
      <c r="E188" s="16">
        <v>1</v>
      </c>
      <c r="F188" s="6" t="s">
        <v>738</v>
      </c>
      <c r="G188" s="6" t="s">
        <v>194</v>
      </c>
      <c r="H188" s="6"/>
      <c r="I188" s="6"/>
      <c r="J188" s="29" t="s">
        <v>1036</v>
      </c>
      <c r="K188" s="1">
        <f t="shared" si="6"/>
        <v>281</v>
      </c>
      <c r="L188" s="1" t="str">
        <f t="shared" si="7"/>
        <v>119</v>
      </c>
      <c r="M188" s="1" t="str">
        <f t="shared" si="8"/>
        <v>0x00119</v>
      </c>
    </row>
    <row r="189" spans="1:13" ht="60.75" x14ac:dyDescent="0.25">
      <c r="A189" s="16" t="s">
        <v>280</v>
      </c>
      <c r="B189" s="15" t="s">
        <v>10</v>
      </c>
      <c r="C189" s="5">
        <v>283</v>
      </c>
      <c r="D189" s="5" t="s">
        <v>1330</v>
      </c>
      <c r="E189" s="16">
        <v>2</v>
      </c>
      <c r="F189" s="6" t="s">
        <v>778</v>
      </c>
      <c r="G189" s="6" t="s">
        <v>112</v>
      </c>
      <c r="H189" s="10" t="s">
        <v>113</v>
      </c>
      <c r="I189" s="6" t="s">
        <v>114</v>
      </c>
      <c r="J189" s="29" t="s">
        <v>1022</v>
      </c>
      <c r="K189" s="1">
        <f t="shared" si="6"/>
        <v>282</v>
      </c>
      <c r="L189" s="1" t="str">
        <f t="shared" si="7"/>
        <v>11A</v>
      </c>
      <c r="M189" s="1" t="str">
        <f t="shared" si="8"/>
        <v>0x0011A</v>
      </c>
    </row>
    <row r="190" spans="1:13" ht="40.5" x14ac:dyDescent="0.25">
      <c r="A190" s="16" t="s">
        <v>281</v>
      </c>
      <c r="B190" s="15" t="s">
        <v>10</v>
      </c>
      <c r="C190" s="5">
        <v>285</v>
      </c>
      <c r="D190" s="5" t="s">
        <v>1331</v>
      </c>
      <c r="E190" s="16">
        <v>1</v>
      </c>
      <c r="F190" s="6" t="s">
        <v>875</v>
      </c>
      <c r="G190" s="6" t="s">
        <v>137</v>
      </c>
      <c r="H190" s="6" t="s">
        <v>138</v>
      </c>
      <c r="I190" s="6" t="s">
        <v>139</v>
      </c>
      <c r="J190" s="29" t="s">
        <v>1025</v>
      </c>
      <c r="K190" s="1">
        <f t="shared" si="6"/>
        <v>284</v>
      </c>
      <c r="L190" s="1" t="str">
        <f t="shared" si="7"/>
        <v>11C</v>
      </c>
      <c r="M190" s="1" t="str">
        <f t="shared" si="8"/>
        <v>0x0011C</v>
      </c>
    </row>
    <row r="191" spans="1:13" ht="40.5" x14ac:dyDescent="0.25">
      <c r="A191" s="16" t="s">
        <v>282</v>
      </c>
      <c r="B191" s="15" t="s">
        <v>10</v>
      </c>
      <c r="C191" s="5">
        <v>286</v>
      </c>
      <c r="D191" s="5" t="s">
        <v>1332</v>
      </c>
      <c r="E191" s="16">
        <v>2</v>
      </c>
      <c r="F191" s="16" t="s">
        <v>876</v>
      </c>
      <c r="G191" s="6" t="s">
        <v>283</v>
      </c>
      <c r="H191" s="10">
        <v>0</v>
      </c>
      <c r="I191" s="10" t="s">
        <v>284</v>
      </c>
      <c r="J191" s="29" t="s">
        <v>1107</v>
      </c>
      <c r="K191" s="1">
        <f t="shared" si="6"/>
        <v>285</v>
      </c>
      <c r="L191" s="1" t="str">
        <f t="shared" si="7"/>
        <v>11D</v>
      </c>
      <c r="M191" s="1" t="str">
        <f t="shared" si="8"/>
        <v>0x0011D</v>
      </c>
    </row>
    <row r="192" spans="1:13" ht="60.75" x14ac:dyDescent="0.25">
      <c r="A192" s="16" t="s">
        <v>285</v>
      </c>
      <c r="B192" s="15" t="s">
        <v>10</v>
      </c>
      <c r="C192" s="5">
        <v>288</v>
      </c>
      <c r="D192" s="5" t="s">
        <v>1333</v>
      </c>
      <c r="E192" s="16">
        <v>2</v>
      </c>
      <c r="F192" s="16" t="s">
        <v>877</v>
      </c>
      <c r="G192" s="6" t="s">
        <v>283</v>
      </c>
      <c r="H192" s="10">
        <v>0</v>
      </c>
      <c r="I192" s="10" t="s">
        <v>284</v>
      </c>
      <c r="J192" s="29" t="s">
        <v>1107</v>
      </c>
      <c r="K192" s="1">
        <f t="shared" si="6"/>
        <v>287</v>
      </c>
      <c r="L192" s="1" t="str">
        <f t="shared" si="7"/>
        <v>11F</v>
      </c>
      <c r="M192" s="1" t="str">
        <f t="shared" si="8"/>
        <v>0x0011F</v>
      </c>
    </row>
    <row r="193" spans="1:13" ht="40.5" x14ac:dyDescent="0.25">
      <c r="A193" s="16" t="s">
        <v>286</v>
      </c>
      <c r="B193" s="15" t="s">
        <v>10</v>
      </c>
      <c r="C193" s="5">
        <v>290</v>
      </c>
      <c r="D193" s="5" t="s">
        <v>1334</v>
      </c>
      <c r="E193" s="16">
        <v>1</v>
      </c>
      <c r="F193" s="6" t="s">
        <v>721</v>
      </c>
      <c r="G193" s="6" t="s">
        <v>55</v>
      </c>
      <c r="H193" s="10" t="s">
        <v>56</v>
      </c>
      <c r="I193" s="10" t="s">
        <v>57</v>
      </c>
      <c r="J193" s="29" t="s">
        <v>1014</v>
      </c>
      <c r="K193" s="1">
        <f t="shared" si="6"/>
        <v>289</v>
      </c>
      <c r="L193" s="1" t="str">
        <f t="shared" si="7"/>
        <v>121</v>
      </c>
      <c r="M193" s="1" t="str">
        <f t="shared" si="8"/>
        <v>0x00121</v>
      </c>
    </row>
    <row r="194" spans="1:13" ht="40.5" x14ac:dyDescent="0.25">
      <c r="A194" s="16" t="s">
        <v>287</v>
      </c>
      <c r="B194" s="15" t="s">
        <v>10</v>
      </c>
      <c r="C194" s="5">
        <v>291</v>
      </c>
      <c r="D194" s="5" t="s">
        <v>1335</v>
      </c>
      <c r="E194" s="16">
        <v>1</v>
      </c>
      <c r="F194" s="6" t="s">
        <v>729</v>
      </c>
      <c r="G194" s="6" t="s">
        <v>55</v>
      </c>
      <c r="H194" s="10" t="s">
        <v>56</v>
      </c>
      <c r="I194" s="10" t="s">
        <v>57</v>
      </c>
      <c r="J194" s="29" t="s">
        <v>1014</v>
      </c>
      <c r="K194" s="1">
        <f t="shared" si="6"/>
        <v>290</v>
      </c>
      <c r="L194" s="1" t="str">
        <f t="shared" si="7"/>
        <v>122</v>
      </c>
      <c r="M194" s="1" t="str">
        <f t="shared" si="8"/>
        <v>0x00122</v>
      </c>
    </row>
    <row r="195" spans="1:13" ht="81" x14ac:dyDescent="0.25">
      <c r="A195" s="16" t="s">
        <v>288</v>
      </c>
      <c r="B195" s="15" t="s">
        <v>10</v>
      </c>
      <c r="C195" s="5">
        <v>292</v>
      </c>
      <c r="D195" s="5" t="s">
        <v>1336</v>
      </c>
      <c r="E195" s="16">
        <v>1</v>
      </c>
      <c r="F195" s="6" t="s">
        <v>730</v>
      </c>
      <c r="G195" s="6" t="s">
        <v>158</v>
      </c>
      <c r="H195" s="6">
        <v>0</v>
      </c>
      <c r="I195" s="10" t="s">
        <v>160</v>
      </c>
      <c r="J195" s="29" t="s">
        <v>1027</v>
      </c>
      <c r="K195" s="1">
        <f t="shared" si="6"/>
        <v>291</v>
      </c>
      <c r="L195" s="1" t="str">
        <f t="shared" si="7"/>
        <v>123</v>
      </c>
      <c r="M195" s="1" t="str">
        <f t="shared" si="8"/>
        <v>0x00123</v>
      </c>
    </row>
    <row r="196" spans="1:13" ht="60.75" x14ac:dyDescent="0.25">
      <c r="A196" s="16" t="s">
        <v>289</v>
      </c>
      <c r="B196" s="15" t="s">
        <v>10</v>
      </c>
      <c r="C196" s="5">
        <v>293</v>
      </c>
      <c r="D196" s="5" t="s">
        <v>1337</v>
      </c>
      <c r="E196" s="16">
        <v>1</v>
      </c>
      <c r="F196" s="6" t="s">
        <v>731</v>
      </c>
      <c r="G196" s="6" t="s">
        <v>158</v>
      </c>
      <c r="H196" s="6">
        <v>0</v>
      </c>
      <c r="I196" s="10" t="s">
        <v>160</v>
      </c>
      <c r="J196" s="29" t="s">
        <v>1027</v>
      </c>
      <c r="K196" s="1">
        <f t="shared" si="6"/>
        <v>292</v>
      </c>
      <c r="L196" s="1" t="str">
        <f t="shared" si="7"/>
        <v>124</v>
      </c>
      <c r="M196" s="1" t="str">
        <f t="shared" si="8"/>
        <v>0x00124</v>
      </c>
    </row>
    <row r="197" spans="1:13" ht="81" x14ac:dyDescent="0.25">
      <c r="A197" s="16" t="s">
        <v>290</v>
      </c>
      <c r="B197" s="15" t="s">
        <v>10</v>
      </c>
      <c r="C197" s="5">
        <v>294</v>
      </c>
      <c r="D197" s="5" t="s">
        <v>1338</v>
      </c>
      <c r="E197" s="16">
        <v>1</v>
      </c>
      <c r="F197" s="6" t="s">
        <v>737</v>
      </c>
      <c r="G197" s="6" t="s">
        <v>158</v>
      </c>
      <c r="H197" s="6">
        <v>0</v>
      </c>
      <c r="I197" s="10" t="s">
        <v>160</v>
      </c>
      <c r="J197" s="29" t="s">
        <v>1027</v>
      </c>
      <c r="K197" s="1">
        <f t="shared" si="6"/>
        <v>293</v>
      </c>
      <c r="L197" s="1" t="str">
        <f t="shared" si="7"/>
        <v>125</v>
      </c>
      <c r="M197" s="1" t="str">
        <f t="shared" si="8"/>
        <v>0x00125</v>
      </c>
    </row>
    <row r="198" spans="1:13" ht="81" x14ac:dyDescent="0.25">
      <c r="A198" s="16" t="s">
        <v>291</v>
      </c>
      <c r="B198" s="15" t="s">
        <v>10</v>
      </c>
      <c r="C198" s="5">
        <v>295</v>
      </c>
      <c r="D198" s="5" t="s">
        <v>1339</v>
      </c>
      <c r="E198" s="16">
        <v>1</v>
      </c>
      <c r="F198" s="6" t="s">
        <v>736</v>
      </c>
      <c r="G198" s="6" t="s">
        <v>158</v>
      </c>
      <c r="H198" s="6">
        <v>0</v>
      </c>
      <c r="I198" s="10" t="s">
        <v>160</v>
      </c>
      <c r="J198" s="29" t="s">
        <v>1027</v>
      </c>
      <c r="K198" s="1">
        <f t="shared" si="6"/>
        <v>294</v>
      </c>
      <c r="L198" s="1" t="str">
        <f t="shared" si="7"/>
        <v>126</v>
      </c>
      <c r="M198" s="1" t="str">
        <f t="shared" si="8"/>
        <v>0x00126</v>
      </c>
    </row>
    <row r="199" spans="1:13" ht="162" x14ac:dyDescent="0.25">
      <c r="A199" s="16" t="s">
        <v>292</v>
      </c>
      <c r="B199" s="15" t="s">
        <v>10</v>
      </c>
      <c r="C199" s="5">
        <v>296</v>
      </c>
      <c r="D199" s="5" t="s">
        <v>1340</v>
      </c>
      <c r="E199" s="16">
        <v>1</v>
      </c>
      <c r="F199" s="6" t="s">
        <v>823</v>
      </c>
      <c r="G199" s="6" t="s">
        <v>293</v>
      </c>
      <c r="H199" s="10"/>
      <c r="I199" s="6"/>
      <c r="J199" s="29" t="s">
        <v>292</v>
      </c>
      <c r="K199" s="1">
        <f t="shared" ref="K199:K262" si="9">C199-1</f>
        <v>295</v>
      </c>
      <c r="L199" s="1" t="str">
        <f t="shared" ref="L199:L262" si="10">DEC2HEX(K199)</f>
        <v>127</v>
      </c>
      <c r="M199" s="1" t="str">
        <f t="shared" ref="M199:M262" si="11">_xlfn.CONCAT("0x00", L199)</f>
        <v>0x00127</v>
      </c>
    </row>
    <row r="200" spans="1:13" ht="60.75" x14ac:dyDescent="0.25">
      <c r="A200" s="16" t="s">
        <v>294</v>
      </c>
      <c r="B200" s="15" t="s">
        <v>10</v>
      </c>
      <c r="C200" s="5">
        <v>297</v>
      </c>
      <c r="D200" s="5" t="s">
        <v>1341</v>
      </c>
      <c r="E200" s="16">
        <v>1</v>
      </c>
      <c r="F200" s="6" t="s">
        <v>732</v>
      </c>
      <c r="G200" s="10" t="s">
        <v>99</v>
      </c>
      <c r="H200" s="10" t="s">
        <v>201</v>
      </c>
      <c r="I200" s="10" t="s">
        <v>101</v>
      </c>
      <c r="J200" s="29" t="s">
        <v>1020</v>
      </c>
      <c r="K200" s="1">
        <f t="shared" si="9"/>
        <v>296</v>
      </c>
      <c r="L200" s="1" t="str">
        <f t="shared" si="10"/>
        <v>128</v>
      </c>
      <c r="M200" s="1" t="str">
        <f t="shared" si="11"/>
        <v>0x00128</v>
      </c>
    </row>
    <row r="201" spans="1:13" ht="81" x14ac:dyDescent="0.25">
      <c r="A201" s="16" t="s">
        <v>295</v>
      </c>
      <c r="B201" s="15" t="s">
        <v>10</v>
      </c>
      <c r="C201" s="5">
        <v>298</v>
      </c>
      <c r="D201" s="5" t="s">
        <v>1342</v>
      </c>
      <c r="E201" s="16">
        <v>1</v>
      </c>
      <c r="F201" s="6" t="s">
        <v>733</v>
      </c>
      <c r="G201" s="10" t="s">
        <v>99</v>
      </c>
      <c r="H201" s="10" t="s">
        <v>201</v>
      </c>
      <c r="I201" s="10" t="s">
        <v>101</v>
      </c>
      <c r="J201" s="29" t="s">
        <v>1020</v>
      </c>
      <c r="K201" s="1">
        <f t="shared" si="9"/>
        <v>297</v>
      </c>
      <c r="L201" s="1" t="str">
        <f t="shared" si="10"/>
        <v>129</v>
      </c>
      <c r="M201" s="1" t="str">
        <f t="shared" si="11"/>
        <v>0x00129</v>
      </c>
    </row>
    <row r="202" spans="1:13" ht="81" x14ac:dyDescent="0.25">
      <c r="A202" s="16" t="s">
        <v>296</v>
      </c>
      <c r="B202" s="15" t="s">
        <v>10</v>
      </c>
      <c r="C202" s="5">
        <v>299</v>
      </c>
      <c r="D202" s="5" t="s">
        <v>1343</v>
      </c>
      <c r="E202" s="16">
        <v>1</v>
      </c>
      <c r="F202" s="6" t="s">
        <v>734</v>
      </c>
      <c r="G202" s="10" t="s">
        <v>99</v>
      </c>
      <c r="H202" s="10" t="s">
        <v>201</v>
      </c>
      <c r="I202" s="10" t="s">
        <v>101</v>
      </c>
      <c r="J202" s="29" t="s">
        <v>1020</v>
      </c>
      <c r="K202" s="1">
        <f t="shared" si="9"/>
        <v>298</v>
      </c>
      <c r="L202" s="1" t="str">
        <f t="shared" si="10"/>
        <v>12A</v>
      </c>
      <c r="M202" s="1" t="str">
        <f t="shared" si="11"/>
        <v>0x0012A</v>
      </c>
    </row>
    <row r="203" spans="1:13" ht="40.5" x14ac:dyDescent="0.25">
      <c r="A203" s="16" t="s">
        <v>297</v>
      </c>
      <c r="B203" s="15" t="s">
        <v>10</v>
      </c>
      <c r="C203" s="5">
        <v>300</v>
      </c>
      <c r="D203" s="5" t="s">
        <v>1344</v>
      </c>
      <c r="E203" s="16">
        <v>1</v>
      </c>
      <c r="F203" s="6" t="s">
        <v>821</v>
      </c>
      <c r="G203" s="10" t="s">
        <v>134</v>
      </c>
      <c r="H203" s="10" t="s">
        <v>177</v>
      </c>
      <c r="I203" s="10" t="s">
        <v>135</v>
      </c>
      <c r="J203" s="29" t="s">
        <v>1108</v>
      </c>
      <c r="K203" s="1">
        <f t="shared" si="9"/>
        <v>299</v>
      </c>
      <c r="L203" s="1" t="str">
        <f t="shared" si="10"/>
        <v>12B</v>
      </c>
      <c r="M203" s="1" t="str">
        <f t="shared" si="11"/>
        <v>0x0012B</v>
      </c>
    </row>
    <row r="204" spans="1:13" ht="40.5" x14ac:dyDescent="0.25">
      <c r="A204" s="16" t="s">
        <v>298</v>
      </c>
      <c r="B204" s="15" t="s">
        <v>10</v>
      </c>
      <c r="C204" s="5">
        <v>301</v>
      </c>
      <c r="D204" s="5" t="s">
        <v>1345</v>
      </c>
      <c r="E204" s="16">
        <v>1</v>
      </c>
      <c r="F204" s="6" t="s">
        <v>822</v>
      </c>
      <c r="G204" s="10" t="s">
        <v>134</v>
      </c>
      <c r="H204" s="10" t="s">
        <v>177</v>
      </c>
      <c r="I204" s="10" t="s">
        <v>135</v>
      </c>
      <c r="J204" s="29" t="s">
        <v>1108</v>
      </c>
      <c r="K204" s="1">
        <f t="shared" si="9"/>
        <v>300</v>
      </c>
      <c r="L204" s="1" t="str">
        <f t="shared" si="10"/>
        <v>12C</v>
      </c>
      <c r="M204" s="1" t="str">
        <f t="shared" si="11"/>
        <v>0x0012C</v>
      </c>
    </row>
    <row r="205" spans="1:13" ht="40.5" x14ac:dyDescent="0.25">
      <c r="A205" s="16" t="s">
        <v>299</v>
      </c>
      <c r="B205" s="15" t="s">
        <v>10</v>
      </c>
      <c r="C205" s="5">
        <v>302</v>
      </c>
      <c r="D205" s="5" t="s">
        <v>1346</v>
      </c>
      <c r="E205" s="16">
        <v>1</v>
      </c>
      <c r="F205" s="6" t="s">
        <v>762</v>
      </c>
      <c r="G205" s="10" t="s">
        <v>1140</v>
      </c>
      <c r="H205" s="10"/>
      <c r="I205" s="10"/>
      <c r="J205" s="29" t="s">
        <v>1109</v>
      </c>
      <c r="K205" s="1">
        <f t="shared" si="9"/>
        <v>301</v>
      </c>
      <c r="L205" s="1" t="str">
        <f t="shared" si="10"/>
        <v>12D</v>
      </c>
      <c r="M205" s="1" t="str">
        <f t="shared" si="11"/>
        <v>0x0012D</v>
      </c>
    </row>
    <row r="206" spans="1:13" ht="81" x14ac:dyDescent="0.25">
      <c r="A206" s="16" t="s">
        <v>300</v>
      </c>
      <c r="B206" s="15" t="s">
        <v>10</v>
      </c>
      <c r="C206" s="5">
        <v>303</v>
      </c>
      <c r="D206" s="5" t="s">
        <v>1347</v>
      </c>
      <c r="E206" s="16">
        <v>1</v>
      </c>
      <c r="F206" s="6" t="s">
        <v>735</v>
      </c>
      <c r="G206" s="10" t="s">
        <v>861</v>
      </c>
      <c r="H206" s="10"/>
      <c r="I206" s="10"/>
      <c r="J206" s="29" t="s">
        <v>1110</v>
      </c>
      <c r="K206" s="1">
        <f t="shared" si="9"/>
        <v>302</v>
      </c>
      <c r="L206" s="1" t="str">
        <f t="shared" si="10"/>
        <v>12E</v>
      </c>
      <c r="M206" s="1" t="str">
        <f t="shared" si="11"/>
        <v>0x0012E</v>
      </c>
    </row>
    <row r="207" spans="1:13" ht="60.75" x14ac:dyDescent="0.25">
      <c r="A207" s="16" t="s">
        <v>301</v>
      </c>
      <c r="B207" s="15" t="s">
        <v>10</v>
      </c>
      <c r="C207" s="5">
        <v>304</v>
      </c>
      <c r="D207" s="5" t="s">
        <v>1348</v>
      </c>
      <c r="E207" s="16">
        <v>1</v>
      </c>
      <c r="F207" s="6" t="s">
        <v>756</v>
      </c>
      <c r="G207" s="10" t="s">
        <v>302</v>
      </c>
      <c r="H207" s="6">
        <v>0</v>
      </c>
      <c r="I207" s="10" t="s">
        <v>303</v>
      </c>
      <c r="J207" s="29" t="s">
        <v>1111</v>
      </c>
      <c r="K207" s="1">
        <f t="shared" si="9"/>
        <v>303</v>
      </c>
      <c r="L207" s="1" t="str">
        <f t="shared" si="10"/>
        <v>12F</v>
      </c>
      <c r="M207" s="1" t="str">
        <f t="shared" si="11"/>
        <v>0x0012F</v>
      </c>
    </row>
    <row r="208" spans="1:13" ht="60.75" x14ac:dyDescent="0.25">
      <c r="A208" s="16" t="s">
        <v>304</v>
      </c>
      <c r="B208" s="15" t="s">
        <v>10</v>
      </c>
      <c r="C208" s="5">
        <v>305</v>
      </c>
      <c r="D208" s="5" t="s">
        <v>1349</v>
      </c>
      <c r="E208" s="16">
        <v>1</v>
      </c>
      <c r="F208" s="6" t="s">
        <v>757</v>
      </c>
      <c r="G208" s="10" t="s">
        <v>302</v>
      </c>
      <c r="H208" s="6">
        <v>0</v>
      </c>
      <c r="I208" s="10" t="s">
        <v>303</v>
      </c>
      <c r="J208" s="29" t="s">
        <v>1111</v>
      </c>
      <c r="K208" s="1">
        <f t="shared" si="9"/>
        <v>304</v>
      </c>
      <c r="L208" s="1" t="str">
        <f t="shared" si="10"/>
        <v>130</v>
      </c>
      <c r="M208" s="1" t="str">
        <f t="shared" si="11"/>
        <v>0x00130</v>
      </c>
    </row>
    <row r="209" spans="1:13" ht="60.75" x14ac:dyDescent="0.25">
      <c r="A209" s="16" t="s">
        <v>305</v>
      </c>
      <c r="B209" s="15" t="s">
        <v>10</v>
      </c>
      <c r="C209" s="5">
        <v>306</v>
      </c>
      <c r="D209" s="5" t="s">
        <v>1350</v>
      </c>
      <c r="E209" s="16">
        <v>1</v>
      </c>
      <c r="F209" s="6" t="s">
        <v>758</v>
      </c>
      <c r="G209" s="10" t="s">
        <v>302</v>
      </c>
      <c r="H209" s="6">
        <v>0</v>
      </c>
      <c r="I209" s="10" t="s">
        <v>303</v>
      </c>
      <c r="J209" s="29" t="s">
        <v>1111</v>
      </c>
      <c r="K209" s="1">
        <f t="shared" si="9"/>
        <v>305</v>
      </c>
      <c r="L209" s="1" t="str">
        <f t="shared" si="10"/>
        <v>131</v>
      </c>
      <c r="M209" s="1" t="str">
        <f t="shared" si="11"/>
        <v>0x00131</v>
      </c>
    </row>
    <row r="210" spans="1:13" ht="81" x14ac:dyDescent="0.25">
      <c r="A210" s="16" t="s">
        <v>306</v>
      </c>
      <c r="B210" s="15" t="s">
        <v>10</v>
      </c>
      <c r="C210" s="5">
        <v>307</v>
      </c>
      <c r="D210" s="5" t="s">
        <v>1351</v>
      </c>
      <c r="E210" s="16">
        <v>1</v>
      </c>
      <c r="F210" s="6" t="s">
        <v>759</v>
      </c>
      <c r="G210" s="10" t="s">
        <v>302</v>
      </c>
      <c r="H210" s="6">
        <v>0</v>
      </c>
      <c r="I210" s="10" t="s">
        <v>303</v>
      </c>
      <c r="J210" s="29" t="s">
        <v>1111</v>
      </c>
      <c r="K210" s="1">
        <f t="shared" si="9"/>
        <v>306</v>
      </c>
      <c r="L210" s="1" t="str">
        <f t="shared" si="10"/>
        <v>132</v>
      </c>
      <c r="M210" s="1" t="str">
        <f t="shared" si="11"/>
        <v>0x00132</v>
      </c>
    </row>
    <row r="211" spans="1:13" ht="60.75" x14ac:dyDescent="0.25">
      <c r="A211" s="16" t="s">
        <v>307</v>
      </c>
      <c r="B211" s="15" t="s">
        <v>10</v>
      </c>
      <c r="C211" s="5">
        <v>308</v>
      </c>
      <c r="D211" s="5" t="s">
        <v>1352</v>
      </c>
      <c r="E211" s="16">
        <v>1</v>
      </c>
      <c r="F211" s="6" t="s">
        <v>760</v>
      </c>
      <c r="G211" s="6" t="s">
        <v>308</v>
      </c>
      <c r="H211" s="10" t="s">
        <v>309</v>
      </c>
      <c r="I211" s="10" t="s">
        <v>310</v>
      </c>
      <c r="J211" s="29" t="s">
        <v>1112</v>
      </c>
      <c r="K211" s="1">
        <f t="shared" si="9"/>
        <v>307</v>
      </c>
      <c r="L211" s="1" t="str">
        <f t="shared" si="10"/>
        <v>133</v>
      </c>
      <c r="M211" s="1" t="str">
        <f t="shared" si="11"/>
        <v>0x00133</v>
      </c>
    </row>
    <row r="212" spans="1:13" ht="60.75" x14ac:dyDescent="0.25">
      <c r="A212" s="16" t="s">
        <v>311</v>
      </c>
      <c r="B212" s="15" t="s">
        <v>10</v>
      </c>
      <c r="C212" s="5">
        <v>309</v>
      </c>
      <c r="D212" s="5" t="s">
        <v>1353</v>
      </c>
      <c r="E212" s="16">
        <v>1</v>
      </c>
      <c r="F212" s="6" t="s">
        <v>761</v>
      </c>
      <c r="G212" s="6" t="s">
        <v>308</v>
      </c>
      <c r="H212" s="10" t="s">
        <v>309</v>
      </c>
      <c r="I212" s="10" t="s">
        <v>310</v>
      </c>
      <c r="J212" s="29" t="s">
        <v>1112</v>
      </c>
      <c r="K212" s="1">
        <f t="shared" si="9"/>
        <v>308</v>
      </c>
      <c r="L212" s="1" t="str">
        <f t="shared" si="10"/>
        <v>134</v>
      </c>
      <c r="M212" s="1" t="str">
        <f t="shared" si="11"/>
        <v>0x00134</v>
      </c>
    </row>
    <row r="213" spans="1:13" ht="81" x14ac:dyDescent="0.25">
      <c r="A213" s="16" t="s">
        <v>312</v>
      </c>
      <c r="B213" s="15" t="s">
        <v>10</v>
      </c>
      <c r="C213" s="5">
        <v>310</v>
      </c>
      <c r="D213" s="5" t="s">
        <v>1354</v>
      </c>
      <c r="E213" s="16">
        <v>1</v>
      </c>
      <c r="F213" s="6" t="s">
        <v>739</v>
      </c>
      <c r="G213" s="6" t="s">
        <v>17</v>
      </c>
      <c r="H213" s="6"/>
      <c r="I213" s="6"/>
      <c r="J213" s="29" t="s">
        <v>1004</v>
      </c>
      <c r="K213" s="1">
        <f t="shared" si="9"/>
        <v>309</v>
      </c>
      <c r="L213" s="1" t="str">
        <f t="shared" si="10"/>
        <v>135</v>
      </c>
      <c r="M213" s="1" t="str">
        <f t="shared" si="11"/>
        <v>0x00135</v>
      </c>
    </row>
    <row r="214" spans="1:13" x14ac:dyDescent="0.25">
      <c r="A214" s="16" t="s">
        <v>313</v>
      </c>
      <c r="B214" s="15" t="s">
        <v>10</v>
      </c>
      <c r="C214" s="5">
        <v>311</v>
      </c>
      <c r="D214" s="5" t="s">
        <v>1355</v>
      </c>
      <c r="E214" s="16">
        <v>1</v>
      </c>
      <c r="F214" s="6" t="s">
        <v>661</v>
      </c>
      <c r="G214" s="6" t="s">
        <v>314</v>
      </c>
      <c r="H214" s="6"/>
      <c r="I214" s="6"/>
      <c r="J214" s="29" t="s">
        <v>313</v>
      </c>
      <c r="K214" s="1">
        <f t="shared" si="9"/>
        <v>310</v>
      </c>
      <c r="L214" s="1" t="str">
        <f t="shared" si="10"/>
        <v>136</v>
      </c>
      <c r="M214" s="1" t="str">
        <f t="shared" si="11"/>
        <v>0x00136</v>
      </c>
    </row>
    <row r="215" spans="1:13" ht="40.5" x14ac:dyDescent="0.25">
      <c r="A215" s="16" t="s">
        <v>315</v>
      </c>
      <c r="B215" s="15" t="s">
        <v>10</v>
      </c>
      <c r="C215" s="5">
        <v>312</v>
      </c>
      <c r="D215" s="5" t="s">
        <v>1356</v>
      </c>
      <c r="E215" s="16">
        <v>1</v>
      </c>
      <c r="F215" s="6" t="s">
        <v>724</v>
      </c>
      <c r="G215" s="6" t="s">
        <v>169</v>
      </c>
      <c r="H215" s="6">
        <v>0</v>
      </c>
      <c r="I215" s="10" t="s">
        <v>171</v>
      </c>
      <c r="J215" s="29" t="s">
        <v>1030</v>
      </c>
      <c r="K215" s="1">
        <f t="shared" si="9"/>
        <v>311</v>
      </c>
      <c r="L215" s="1" t="str">
        <f t="shared" si="10"/>
        <v>137</v>
      </c>
      <c r="M215" s="1" t="str">
        <f t="shared" si="11"/>
        <v>0x00137</v>
      </c>
    </row>
    <row r="216" spans="1:13" x14ac:dyDescent="0.25">
      <c r="A216" s="16" t="s">
        <v>316</v>
      </c>
      <c r="B216" s="15" t="s">
        <v>10</v>
      </c>
      <c r="C216" s="5">
        <v>313</v>
      </c>
      <c r="D216" s="5" t="s">
        <v>1357</v>
      </c>
      <c r="E216" s="16">
        <v>1</v>
      </c>
      <c r="F216" s="6" t="s">
        <v>773</v>
      </c>
      <c r="G216" s="6" t="s">
        <v>243</v>
      </c>
      <c r="H216" s="6">
        <v>0</v>
      </c>
      <c r="I216" s="6" t="s">
        <v>317</v>
      </c>
      <c r="J216" s="29" t="s">
        <v>1113</v>
      </c>
      <c r="K216" s="1">
        <f t="shared" si="9"/>
        <v>312</v>
      </c>
      <c r="L216" s="1" t="str">
        <f t="shared" si="10"/>
        <v>138</v>
      </c>
      <c r="M216" s="1" t="str">
        <f t="shared" si="11"/>
        <v>0x00138</v>
      </c>
    </row>
    <row r="217" spans="1:13" ht="40.5" x14ac:dyDescent="0.25">
      <c r="A217" s="16" t="s">
        <v>318</v>
      </c>
      <c r="B217" s="15" t="s">
        <v>10</v>
      </c>
      <c r="C217" s="5">
        <v>314</v>
      </c>
      <c r="D217" s="5" t="s">
        <v>1358</v>
      </c>
      <c r="E217" s="16">
        <v>1</v>
      </c>
      <c r="F217" s="6" t="s">
        <v>771</v>
      </c>
      <c r="G217" s="6" t="s">
        <v>319</v>
      </c>
      <c r="H217" s="6">
        <v>0</v>
      </c>
      <c r="I217" s="10" t="s">
        <v>320</v>
      </c>
      <c r="J217" s="29" t="s">
        <v>1114</v>
      </c>
      <c r="K217" s="1">
        <f t="shared" si="9"/>
        <v>313</v>
      </c>
      <c r="L217" s="1" t="str">
        <f t="shared" si="10"/>
        <v>139</v>
      </c>
      <c r="M217" s="1" t="str">
        <f t="shared" si="11"/>
        <v>0x00139</v>
      </c>
    </row>
    <row r="218" spans="1:13" x14ac:dyDescent="0.25">
      <c r="A218" s="16" t="s">
        <v>321</v>
      </c>
      <c r="B218" s="15" t="s">
        <v>10</v>
      </c>
      <c r="C218" s="5">
        <v>315</v>
      </c>
      <c r="D218" s="5" t="s">
        <v>1359</v>
      </c>
      <c r="E218" s="16">
        <v>1</v>
      </c>
      <c r="F218" s="6" t="s">
        <v>878</v>
      </c>
      <c r="G218" s="6" t="s">
        <v>322</v>
      </c>
      <c r="H218" s="6">
        <v>0</v>
      </c>
      <c r="I218" s="10" t="s">
        <v>323</v>
      </c>
      <c r="J218" s="29" t="s">
        <v>1115</v>
      </c>
      <c r="K218" s="1">
        <f t="shared" si="9"/>
        <v>314</v>
      </c>
      <c r="L218" s="1" t="str">
        <f t="shared" si="10"/>
        <v>13A</v>
      </c>
      <c r="M218" s="1" t="str">
        <f t="shared" si="11"/>
        <v>0x0013A</v>
      </c>
    </row>
    <row r="219" spans="1:13" x14ac:dyDescent="0.25">
      <c r="A219" s="16" t="s">
        <v>324</v>
      </c>
      <c r="B219" s="15" t="s">
        <v>10</v>
      </c>
      <c r="C219" s="5">
        <v>316</v>
      </c>
      <c r="D219" s="5" t="s">
        <v>1360</v>
      </c>
      <c r="E219" s="16">
        <v>1</v>
      </c>
      <c r="F219" s="6" t="s">
        <v>879</v>
      </c>
      <c r="G219" s="6" t="s">
        <v>166</v>
      </c>
      <c r="H219" s="6">
        <v>0</v>
      </c>
      <c r="I219" s="10" t="s">
        <v>228</v>
      </c>
      <c r="J219" s="29" t="s">
        <v>1099</v>
      </c>
      <c r="K219" s="1">
        <f t="shared" si="9"/>
        <v>315</v>
      </c>
      <c r="L219" s="1" t="str">
        <f t="shared" si="10"/>
        <v>13B</v>
      </c>
      <c r="M219" s="1" t="str">
        <f t="shared" si="11"/>
        <v>0x0013B</v>
      </c>
    </row>
    <row r="220" spans="1:13" ht="40.5" x14ac:dyDescent="0.25">
      <c r="A220" s="16" t="s">
        <v>325</v>
      </c>
      <c r="B220" s="15" t="s">
        <v>10</v>
      </c>
      <c r="C220" s="5">
        <v>317</v>
      </c>
      <c r="D220" s="5" t="s">
        <v>1361</v>
      </c>
      <c r="E220" s="16">
        <v>1</v>
      </c>
      <c r="F220" s="6" t="s">
        <v>880</v>
      </c>
      <c r="G220" s="10" t="s">
        <v>237</v>
      </c>
      <c r="H220" s="6">
        <v>0</v>
      </c>
      <c r="I220" s="10" t="s">
        <v>238</v>
      </c>
      <c r="J220" s="29" t="s">
        <v>1102</v>
      </c>
      <c r="K220" s="1">
        <f t="shared" si="9"/>
        <v>316</v>
      </c>
      <c r="L220" s="1" t="str">
        <f t="shared" si="10"/>
        <v>13C</v>
      </c>
      <c r="M220" s="1" t="str">
        <f t="shared" si="11"/>
        <v>0x0013C</v>
      </c>
    </row>
    <row r="221" spans="1:13" ht="40.5" x14ac:dyDescent="0.25">
      <c r="A221" s="16" t="s">
        <v>326</v>
      </c>
      <c r="B221" s="15" t="s">
        <v>10</v>
      </c>
      <c r="C221" s="5">
        <v>318</v>
      </c>
      <c r="D221" s="5" t="s">
        <v>1362</v>
      </c>
      <c r="E221" s="16">
        <v>1</v>
      </c>
      <c r="F221" s="6" t="s">
        <v>881</v>
      </c>
      <c r="G221" s="10" t="s">
        <v>237</v>
      </c>
      <c r="H221" s="6">
        <v>0</v>
      </c>
      <c r="I221" s="10" t="s">
        <v>238</v>
      </c>
      <c r="J221" s="29" t="s">
        <v>1102</v>
      </c>
      <c r="K221" s="1">
        <f t="shared" si="9"/>
        <v>317</v>
      </c>
      <c r="L221" s="1" t="str">
        <f t="shared" si="10"/>
        <v>13D</v>
      </c>
      <c r="M221" s="1" t="str">
        <f t="shared" si="11"/>
        <v>0x0013D</v>
      </c>
    </row>
    <row r="222" spans="1:13" ht="60.75" x14ac:dyDescent="0.25">
      <c r="A222" s="16" t="s">
        <v>327</v>
      </c>
      <c r="B222" s="15" t="s">
        <v>10</v>
      </c>
      <c r="C222" s="5">
        <v>319</v>
      </c>
      <c r="D222" s="5" t="s">
        <v>1363</v>
      </c>
      <c r="E222" s="16">
        <v>1</v>
      </c>
      <c r="F222" s="6" t="s">
        <v>767</v>
      </c>
      <c r="G222" s="6" t="s">
        <v>328</v>
      </c>
      <c r="H222" s="6">
        <v>0</v>
      </c>
      <c r="I222" s="10" t="s">
        <v>329</v>
      </c>
      <c r="J222" s="29" t="s">
        <v>1116</v>
      </c>
      <c r="K222" s="1">
        <f t="shared" si="9"/>
        <v>318</v>
      </c>
      <c r="L222" s="1" t="str">
        <f t="shared" si="10"/>
        <v>13E</v>
      </c>
      <c r="M222" s="1" t="str">
        <f t="shared" si="11"/>
        <v>0x0013E</v>
      </c>
    </row>
    <row r="223" spans="1:13" ht="40.5" x14ac:dyDescent="0.25">
      <c r="A223" s="16" t="s">
        <v>330</v>
      </c>
      <c r="B223" s="15" t="s">
        <v>10</v>
      </c>
      <c r="C223" s="5">
        <v>320</v>
      </c>
      <c r="D223" s="5" t="s">
        <v>1364</v>
      </c>
      <c r="E223" s="16">
        <v>1</v>
      </c>
      <c r="F223" s="6" t="s">
        <v>768</v>
      </c>
      <c r="G223" s="6" t="s">
        <v>328</v>
      </c>
      <c r="H223" s="6">
        <v>0</v>
      </c>
      <c r="I223" s="10" t="s">
        <v>329</v>
      </c>
      <c r="J223" s="29" t="s">
        <v>1116</v>
      </c>
      <c r="K223" s="1">
        <f t="shared" si="9"/>
        <v>319</v>
      </c>
      <c r="L223" s="1" t="str">
        <f t="shared" si="10"/>
        <v>13F</v>
      </c>
      <c r="M223" s="1" t="str">
        <f t="shared" si="11"/>
        <v>0x0013F</v>
      </c>
    </row>
    <row r="224" spans="1:13" ht="81" x14ac:dyDescent="0.25">
      <c r="A224" s="16" t="s">
        <v>331</v>
      </c>
      <c r="B224" s="15" t="s">
        <v>10</v>
      </c>
      <c r="C224" s="5">
        <v>321</v>
      </c>
      <c r="D224" s="5" t="s">
        <v>1365</v>
      </c>
      <c r="E224" s="16">
        <v>1</v>
      </c>
      <c r="F224" s="6" t="s">
        <v>770</v>
      </c>
      <c r="G224" s="6" t="s">
        <v>332</v>
      </c>
      <c r="H224" s="6"/>
      <c r="I224" s="6"/>
      <c r="J224" s="29" t="s">
        <v>1117</v>
      </c>
      <c r="K224" s="1">
        <f t="shared" si="9"/>
        <v>320</v>
      </c>
      <c r="L224" s="1" t="str">
        <f t="shared" si="10"/>
        <v>140</v>
      </c>
      <c r="M224" s="1" t="str">
        <f t="shared" si="11"/>
        <v>0x00140</v>
      </c>
    </row>
    <row r="225" spans="1:13" ht="40.5" x14ac:dyDescent="0.25">
      <c r="A225" s="16" t="s">
        <v>333</v>
      </c>
      <c r="B225" s="15" t="s">
        <v>10</v>
      </c>
      <c r="C225" s="5">
        <v>322</v>
      </c>
      <c r="D225" s="5" t="s">
        <v>1366</v>
      </c>
      <c r="E225" s="16">
        <v>1</v>
      </c>
      <c r="F225" s="16" t="s">
        <v>882</v>
      </c>
      <c r="G225" s="10" t="s">
        <v>166</v>
      </c>
      <c r="H225" s="10" t="s">
        <v>96</v>
      </c>
      <c r="I225" s="10" t="s">
        <v>167</v>
      </c>
      <c r="J225" s="29" t="s">
        <v>1029</v>
      </c>
      <c r="K225" s="1">
        <f t="shared" si="9"/>
        <v>321</v>
      </c>
      <c r="L225" s="1" t="str">
        <f t="shared" si="10"/>
        <v>141</v>
      </c>
      <c r="M225" s="1" t="str">
        <f t="shared" si="11"/>
        <v>0x00141</v>
      </c>
    </row>
    <row r="226" spans="1:13" ht="81" x14ac:dyDescent="0.25">
      <c r="A226" s="16" t="s">
        <v>334</v>
      </c>
      <c r="B226" s="15" t="s">
        <v>10</v>
      </c>
      <c r="C226" s="5">
        <v>323</v>
      </c>
      <c r="D226" s="5" t="s">
        <v>1367</v>
      </c>
      <c r="E226" s="16">
        <v>1</v>
      </c>
      <c r="F226" s="6" t="s">
        <v>784</v>
      </c>
      <c r="G226" s="6" t="s">
        <v>17</v>
      </c>
      <c r="H226" s="10"/>
      <c r="I226" s="10"/>
      <c r="J226" s="29" t="s">
        <v>1004</v>
      </c>
      <c r="K226" s="1">
        <f t="shared" si="9"/>
        <v>322</v>
      </c>
      <c r="L226" s="1" t="str">
        <f t="shared" si="10"/>
        <v>142</v>
      </c>
      <c r="M226" s="1" t="str">
        <f t="shared" si="11"/>
        <v>0x00142</v>
      </c>
    </row>
    <row r="227" spans="1:13" ht="81" x14ac:dyDescent="0.25">
      <c r="A227" s="16" t="s">
        <v>335</v>
      </c>
      <c r="B227" s="15" t="s">
        <v>10</v>
      </c>
      <c r="C227" s="5">
        <v>324</v>
      </c>
      <c r="D227" s="5" t="s">
        <v>1368</v>
      </c>
      <c r="E227" s="16">
        <v>1</v>
      </c>
      <c r="F227" s="6" t="s">
        <v>662</v>
      </c>
      <c r="G227" s="6" t="s">
        <v>17</v>
      </c>
      <c r="H227" s="6"/>
      <c r="I227" s="6"/>
      <c r="J227" s="29" t="s">
        <v>1004</v>
      </c>
      <c r="K227" s="1">
        <f t="shared" si="9"/>
        <v>323</v>
      </c>
      <c r="L227" s="1" t="str">
        <f t="shared" si="10"/>
        <v>143</v>
      </c>
      <c r="M227" s="1" t="str">
        <f t="shared" si="11"/>
        <v>0x00143</v>
      </c>
    </row>
    <row r="228" spans="1:13" ht="81" x14ac:dyDescent="0.25">
      <c r="A228" s="16" t="s">
        <v>336</v>
      </c>
      <c r="B228" s="15" t="s">
        <v>10</v>
      </c>
      <c r="C228" s="5">
        <v>325</v>
      </c>
      <c r="D228" s="5" t="s">
        <v>1369</v>
      </c>
      <c r="E228" s="16">
        <v>1</v>
      </c>
      <c r="F228" s="16" t="s">
        <v>883</v>
      </c>
      <c r="G228" s="6" t="s">
        <v>17</v>
      </c>
      <c r="H228" s="10"/>
      <c r="I228" s="10"/>
      <c r="J228" s="29" t="s">
        <v>1004</v>
      </c>
      <c r="K228" s="1">
        <f t="shared" si="9"/>
        <v>324</v>
      </c>
      <c r="L228" s="1" t="str">
        <f t="shared" si="10"/>
        <v>144</v>
      </c>
      <c r="M228" s="1" t="str">
        <f t="shared" si="11"/>
        <v>0x00144</v>
      </c>
    </row>
    <row r="229" spans="1:13" ht="81" x14ac:dyDescent="0.25">
      <c r="A229" s="16" t="s">
        <v>337</v>
      </c>
      <c r="B229" s="15" t="s">
        <v>10</v>
      </c>
      <c r="C229" s="5">
        <v>326</v>
      </c>
      <c r="D229" s="5" t="s">
        <v>1370</v>
      </c>
      <c r="E229" s="16">
        <v>1</v>
      </c>
      <c r="F229" s="6" t="s">
        <v>660</v>
      </c>
      <c r="G229" s="6" t="s">
        <v>17</v>
      </c>
      <c r="H229" s="10"/>
      <c r="I229" s="6"/>
      <c r="J229" s="29" t="s">
        <v>1004</v>
      </c>
      <c r="K229" s="1">
        <f t="shared" si="9"/>
        <v>325</v>
      </c>
      <c r="L229" s="1" t="str">
        <f t="shared" si="10"/>
        <v>145</v>
      </c>
      <c r="M229" s="1" t="str">
        <f t="shared" si="11"/>
        <v>0x00145</v>
      </c>
    </row>
    <row r="230" spans="1:13" ht="81" x14ac:dyDescent="0.25">
      <c r="A230" s="16" t="s">
        <v>338</v>
      </c>
      <c r="B230" s="15" t="s">
        <v>10</v>
      </c>
      <c r="C230" s="5">
        <v>327</v>
      </c>
      <c r="D230" s="5" t="s">
        <v>1371</v>
      </c>
      <c r="E230" s="16">
        <v>1</v>
      </c>
      <c r="F230" s="6" t="s">
        <v>748</v>
      </c>
      <c r="G230" s="6" t="s">
        <v>17</v>
      </c>
      <c r="H230" s="6"/>
      <c r="I230" s="6"/>
      <c r="J230" s="29" t="s">
        <v>1004</v>
      </c>
      <c r="K230" s="1">
        <f t="shared" si="9"/>
        <v>326</v>
      </c>
      <c r="L230" s="1" t="str">
        <f t="shared" si="10"/>
        <v>146</v>
      </c>
      <c r="M230" s="1" t="str">
        <f t="shared" si="11"/>
        <v>0x00146</v>
      </c>
    </row>
    <row r="231" spans="1:13" x14ac:dyDescent="0.25">
      <c r="A231" s="16" t="s">
        <v>339</v>
      </c>
      <c r="B231" s="15" t="s">
        <v>10</v>
      </c>
      <c r="C231" s="5">
        <v>328</v>
      </c>
      <c r="D231" s="5" t="s">
        <v>1372</v>
      </c>
      <c r="E231" s="16">
        <v>1</v>
      </c>
      <c r="F231" s="6" t="s">
        <v>781</v>
      </c>
      <c r="G231" s="6" t="s">
        <v>340</v>
      </c>
      <c r="H231" s="6"/>
      <c r="I231" s="6"/>
      <c r="J231" s="29" t="s">
        <v>339</v>
      </c>
      <c r="K231" s="1">
        <f t="shared" si="9"/>
        <v>327</v>
      </c>
      <c r="L231" s="1" t="str">
        <f t="shared" si="10"/>
        <v>147</v>
      </c>
      <c r="M231" s="1" t="str">
        <f t="shared" si="11"/>
        <v>0x00147</v>
      </c>
    </row>
    <row r="232" spans="1:13" ht="409.5" x14ac:dyDescent="0.25">
      <c r="A232" s="16" t="s">
        <v>341</v>
      </c>
      <c r="B232" s="15" t="s">
        <v>10</v>
      </c>
      <c r="C232" s="5">
        <v>329</v>
      </c>
      <c r="D232" s="5" t="s">
        <v>1373</v>
      </c>
      <c r="E232" s="16">
        <v>1</v>
      </c>
      <c r="F232" s="6" t="s">
        <v>747</v>
      </c>
      <c r="G232" s="6" t="s">
        <v>342</v>
      </c>
      <c r="H232" s="6"/>
      <c r="I232" s="6"/>
      <c r="J232" s="29" t="s">
        <v>341</v>
      </c>
      <c r="K232" s="1">
        <f t="shared" si="9"/>
        <v>328</v>
      </c>
      <c r="L232" s="1" t="str">
        <f t="shared" si="10"/>
        <v>148</v>
      </c>
      <c r="M232" s="1" t="str">
        <f t="shared" si="11"/>
        <v>0x00148</v>
      </c>
    </row>
    <row r="233" spans="1:13" ht="81" x14ac:dyDescent="0.25">
      <c r="A233" s="16" t="s">
        <v>343</v>
      </c>
      <c r="B233" s="15" t="s">
        <v>10</v>
      </c>
      <c r="C233" s="5">
        <v>330</v>
      </c>
      <c r="D233" s="5" t="s">
        <v>1374</v>
      </c>
      <c r="E233" s="16">
        <v>1</v>
      </c>
      <c r="F233" s="6" t="s">
        <v>665</v>
      </c>
      <c r="G233" s="6" t="s">
        <v>344</v>
      </c>
      <c r="H233" s="6"/>
      <c r="I233" s="6"/>
      <c r="J233" s="29" t="s">
        <v>1118</v>
      </c>
      <c r="K233" s="1">
        <f t="shared" si="9"/>
        <v>329</v>
      </c>
      <c r="L233" s="1" t="str">
        <f t="shared" si="10"/>
        <v>149</v>
      </c>
      <c r="M233" s="1" t="str">
        <f t="shared" si="11"/>
        <v>0x00149</v>
      </c>
    </row>
    <row r="234" spans="1:13" ht="101.25" x14ac:dyDescent="0.25">
      <c r="A234" s="16" t="s">
        <v>345</v>
      </c>
      <c r="B234" s="15" t="s">
        <v>10</v>
      </c>
      <c r="C234" s="5">
        <v>331</v>
      </c>
      <c r="D234" s="5" t="s">
        <v>1375</v>
      </c>
      <c r="E234" s="16">
        <v>1</v>
      </c>
      <c r="F234" s="6" t="s">
        <v>664</v>
      </c>
      <c r="G234" s="6" t="s">
        <v>1144</v>
      </c>
      <c r="H234" s="6"/>
      <c r="I234" s="6"/>
      <c r="J234" s="29" t="s">
        <v>1119</v>
      </c>
      <c r="K234" s="1">
        <f t="shared" si="9"/>
        <v>330</v>
      </c>
      <c r="L234" s="1" t="str">
        <f t="shared" si="10"/>
        <v>14A</v>
      </c>
      <c r="M234" s="1" t="str">
        <f t="shared" si="11"/>
        <v>0x0014A</v>
      </c>
    </row>
    <row r="235" spans="1:13" x14ac:dyDescent="0.25">
      <c r="A235" s="16" t="s">
        <v>346</v>
      </c>
      <c r="B235" s="15" t="s">
        <v>10</v>
      </c>
      <c r="C235" s="5">
        <v>332</v>
      </c>
      <c r="D235" s="5" t="s">
        <v>1376</v>
      </c>
      <c r="E235" s="16">
        <v>1</v>
      </c>
      <c r="F235" s="6" t="s">
        <v>720</v>
      </c>
      <c r="G235" s="6" t="s">
        <v>158</v>
      </c>
      <c r="H235" s="10" t="s">
        <v>159</v>
      </c>
      <c r="I235" s="6" t="s">
        <v>160</v>
      </c>
      <c r="J235" s="29" t="s">
        <v>1027</v>
      </c>
      <c r="K235" s="1">
        <f t="shared" si="9"/>
        <v>331</v>
      </c>
      <c r="L235" s="1" t="str">
        <f t="shared" si="10"/>
        <v>14B</v>
      </c>
      <c r="M235" s="1" t="str">
        <f t="shared" si="11"/>
        <v>0x0014B</v>
      </c>
    </row>
    <row r="236" spans="1:13" ht="40.5" x14ac:dyDescent="0.25">
      <c r="A236" s="16" t="s">
        <v>206</v>
      </c>
      <c r="B236" s="15" t="s">
        <v>10</v>
      </c>
      <c r="C236" s="5">
        <v>333</v>
      </c>
      <c r="D236" s="5" t="s">
        <v>1377</v>
      </c>
      <c r="E236" s="16">
        <v>1</v>
      </c>
      <c r="F236" s="6" t="s">
        <v>785</v>
      </c>
      <c r="G236" s="10" t="s">
        <v>123</v>
      </c>
      <c r="H236" s="10" t="s">
        <v>124</v>
      </c>
      <c r="I236" s="6" t="s">
        <v>125</v>
      </c>
      <c r="J236" s="29" t="s">
        <v>1023</v>
      </c>
      <c r="K236" s="1">
        <f t="shared" si="9"/>
        <v>332</v>
      </c>
      <c r="L236" s="1" t="str">
        <f t="shared" si="10"/>
        <v>14C</v>
      </c>
      <c r="M236" s="1" t="str">
        <f t="shared" si="11"/>
        <v>0x0014C</v>
      </c>
    </row>
    <row r="237" spans="1:13" ht="40.5" x14ac:dyDescent="0.25">
      <c r="A237" s="16" t="s">
        <v>353</v>
      </c>
      <c r="B237" s="15" t="s">
        <v>10</v>
      </c>
      <c r="C237" s="5">
        <v>334</v>
      </c>
      <c r="D237" s="5" t="s">
        <v>1378</v>
      </c>
      <c r="E237" s="16">
        <v>1</v>
      </c>
      <c r="F237" s="6" t="s">
        <v>631</v>
      </c>
      <c r="G237" s="10" t="s">
        <v>99</v>
      </c>
      <c r="H237" s="10" t="s">
        <v>201</v>
      </c>
      <c r="I237" s="10" t="s">
        <v>101</v>
      </c>
      <c r="J237" s="29" t="s">
        <v>1020</v>
      </c>
      <c r="K237" s="1">
        <f t="shared" si="9"/>
        <v>333</v>
      </c>
      <c r="L237" s="1" t="str">
        <f t="shared" si="10"/>
        <v>14D</v>
      </c>
      <c r="M237" s="1" t="str">
        <f t="shared" si="11"/>
        <v>0x0014D</v>
      </c>
    </row>
    <row r="238" spans="1:13" ht="40.5" x14ac:dyDescent="0.25">
      <c r="A238" s="16" t="s">
        <v>354</v>
      </c>
      <c r="B238" s="15" t="s">
        <v>10</v>
      </c>
      <c r="C238" s="5">
        <v>335</v>
      </c>
      <c r="D238" s="5" t="s">
        <v>1379</v>
      </c>
      <c r="E238" s="16">
        <v>1</v>
      </c>
      <c r="F238" s="6" t="s">
        <v>631</v>
      </c>
      <c r="G238" s="10" t="s">
        <v>99</v>
      </c>
      <c r="H238" s="10" t="s">
        <v>201</v>
      </c>
      <c r="I238" s="10" t="s">
        <v>101</v>
      </c>
      <c r="J238" s="29" t="s">
        <v>1020</v>
      </c>
      <c r="K238" s="1">
        <f t="shared" si="9"/>
        <v>334</v>
      </c>
      <c r="L238" s="1" t="str">
        <f t="shared" si="10"/>
        <v>14E</v>
      </c>
      <c r="M238" s="1" t="str">
        <f t="shared" si="11"/>
        <v>0x0014E</v>
      </c>
    </row>
    <row r="239" spans="1:13" ht="40.5" x14ac:dyDescent="0.25">
      <c r="A239" s="16" t="s">
        <v>355</v>
      </c>
      <c r="B239" s="15" t="s">
        <v>10</v>
      </c>
      <c r="C239" s="5">
        <v>336</v>
      </c>
      <c r="D239" s="5" t="s">
        <v>1380</v>
      </c>
      <c r="E239" s="16">
        <v>1</v>
      </c>
      <c r="F239" s="6" t="s">
        <v>632</v>
      </c>
      <c r="G239" s="10" t="s">
        <v>99</v>
      </c>
      <c r="H239" s="10" t="s">
        <v>201</v>
      </c>
      <c r="I239" s="10" t="s">
        <v>101</v>
      </c>
      <c r="J239" s="29" t="s">
        <v>1020</v>
      </c>
      <c r="K239" s="1">
        <f t="shared" si="9"/>
        <v>335</v>
      </c>
      <c r="L239" s="1" t="str">
        <f t="shared" si="10"/>
        <v>14F</v>
      </c>
      <c r="M239" s="1" t="str">
        <f t="shared" si="11"/>
        <v>0x0014F</v>
      </c>
    </row>
    <row r="240" spans="1:13" ht="40.5" x14ac:dyDescent="0.25">
      <c r="A240" s="16" t="s">
        <v>356</v>
      </c>
      <c r="B240" s="15" t="s">
        <v>10</v>
      </c>
      <c r="C240" s="5">
        <v>337</v>
      </c>
      <c r="D240" s="5" t="s">
        <v>1381</v>
      </c>
      <c r="E240" s="16">
        <v>1</v>
      </c>
      <c r="F240" s="6" t="s">
        <v>632</v>
      </c>
      <c r="G240" s="10" t="s">
        <v>99</v>
      </c>
      <c r="H240" s="10" t="s">
        <v>201</v>
      </c>
      <c r="I240" s="10" t="s">
        <v>101</v>
      </c>
      <c r="J240" s="29" t="s">
        <v>1020</v>
      </c>
      <c r="K240" s="1">
        <f t="shared" si="9"/>
        <v>336</v>
      </c>
      <c r="L240" s="1" t="str">
        <f t="shared" si="10"/>
        <v>150</v>
      </c>
      <c r="M240" s="1" t="str">
        <f t="shared" si="11"/>
        <v>0x00150</v>
      </c>
    </row>
    <row r="241" spans="1:13" ht="40.5" x14ac:dyDescent="0.25">
      <c r="A241" s="16" t="s">
        <v>357</v>
      </c>
      <c r="B241" s="15" t="s">
        <v>10</v>
      </c>
      <c r="C241" s="5">
        <v>338</v>
      </c>
      <c r="D241" s="5" t="s">
        <v>1382</v>
      </c>
      <c r="E241" s="16">
        <v>1</v>
      </c>
      <c r="F241" s="6" t="s">
        <v>632</v>
      </c>
      <c r="G241" s="10" t="s">
        <v>99</v>
      </c>
      <c r="H241" s="10" t="s">
        <v>201</v>
      </c>
      <c r="I241" s="10" t="s">
        <v>101</v>
      </c>
      <c r="J241" s="29" t="s">
        <v>1020</v>
      </c>
      <c r="K241" s="1">
        <f t="shared" si="9"/>
        <v>337</v>
      </c>
      <c r="L241" s="1" t="str">
        <f t="shared" si="10"/>
        <v>151</v>
      </c>
      <c r="M241" s="1" t="str">
        <f t="shared" si="11"/>
        <v>0x00151</v>
      </c>
    </row>
    <row r="242" spans="1:13" ht="40.5" x14ac:dyDescent="0.25">
      <c r="A242" s="16" t="s">
        <v>358</v>
      </c>
      <c r="B242" s="15" t="s">
        <v>10</v>
      </c>
      <c r="C242" s="5">
        <v>339</v>
      </c>
      <c r="D242" s="5" t="s">
        <v>1383</v>
      </c>
      <c r="E242" s="16">
        <v>1</v>
      </c>
      <c r="F242" s="6" t="s">
        <v>632</v>
      </c>
      <c r="G242" s="10" t="s">
        <v>99</v>
      </c>
      <c r="H242" s="10" t="s">
        <v>201</v>
      </c>
      <c r="I242" s="10" t="s">
        <v>101</v>
      </c>
      <c r="J242" s="29" t="s">
        <v>1020</v>
      </c>
      <c r="K242" s="1">
        <f t="shared" si="9"/>
        <v>338</v>
      </c>
      <c r="L242" s="1" t="str">
        <f t="shared" si="10"/>
        <v>152</v>
      </c>
      <c r="M242" s="1" t="str">
        <f t="shared" si="11"/>
        <v>0x00152</v>
      </c>
    </row>
    <row r="243" spans="1:13" ht="40.5" x14ac:dyDescent="0.25">
      <c r="A243" s="16" t="s">
        <v>359</v>
      </c>
      <c r="B243" s="15" t="s">
        <v>10</v>
      </c>
      <c r="C243" s="5">
        <v>340</v>
      </c>
      <c r="D243" s="5" t="s">
        <v>1384</v>
      </c>
      <c r="E243" s="16">
        <v>1</v>
      </c>
      <c r="F243" s="6" t="s">
        <v>632</v>
      </c>
      <c r="G243" s="10" t="s">
        <v>99</v>
      </c>
      <c r="H243" s="10" t="s">
        <v>201</v>
      </c>
      <c r="I243" s="10" t="s">
        <v>101</v>
      </c>
      <c r="J243" s="29" t="s">
        <v>1020</v>
      </c>
      <c r="K243" s="1">
        <f t="shared" si="9"/>
        <v>339</v>
      </c>
      <c r="L243" s="1" t="str">
        <f t="shared" si="10"/>
        <v>153</v>
      </c>
      <c r="M243" s="1" t="str">
        <f t="shared" si="11"/>
        <v>0x00153</v>
      </c>
    </row>
    <row r="244" spans="1:13" ht="40.5" x14ac:dyDescent="0.25">
      <c r="A244" s="16" t="s">
        <v>360</v>
      </c>
      <c r="B244" s="15" t="s">
        <v>10</v>
      </c>
      <c r="C244" s="5">
        <v>341</v>
      </c>
      <c r="D244" s="5" t="s">
        <v>1385</v>
      </c>
      <c r="E244" s="16">
        <v>1</v>
      </c>
      <c r="F244" s="6" t="s">
        <v>632</v>
      </c>
      <c r="G244" s="10" t="s">
        <v>99</v>
      </c>
      <c r="H244" s="10" t="s">
        <v>201</v>
      </c>
      <c r="I244" s="10" t="s">
        <v>101</v>
      </c>
      <c r="J244" s="29" t="s">
        <v>1020</v>
      </c>
      <c r="K244" s="1">
        <f t="shared" si="9"/>
        <v>340</v>
      </c>
      <c r="L244" s="1" t="str">
        <f t="shared" si="10"/>
        <v>154</v>
      </c>
      <c r="M244" s="1" t="str">
        <f t="shared" si="11"/>
        <v>0x00154</v>
      </c>
    </row>
    <row r="245" spans="1:13" ht="40.5" x14ac:dyDescent="0.25">
      <c r="A245" s="16" t="s">
        <v>361</v>
      </c>
      <c r="B245" s="15" t="s">
        <v>10</v>
      </c>
      <c r="C245" s="5">
        <v>342</v>
      </c>
      <c r="D245" s="5" t="s">
        <v>1386</v>
      </c>
      <c r="E245" s="16">
        <v>1</v>
      </c>
      <c r="F245" s="6" t="s">
        <v>632</v>
      </c>
      <c r="G245" s="10" t="s">
        <v>99</v>
      </c>
      <c r="H245" s="10" t="s">
        <v>201</v>
      </c>
      <c r="I245" s="10" t="s">
        <v>101</v>
      </c>
      <c r="J245" s="29" t="s">
        <v>1020</v>
      </c>
      <c r="K245" s="1">
        <f t="shared" si="9"/>
        <v>341</v>
      </c>
      <c r="L245" s="1" t="str">
        <f t="shared" si="10"/>
        <v>155</v>
      </c>
      <c r="M245" s="1" t="str">
        <f t="shared" si="11"/>
        <v>0x00155</v>
      </c>
    </row>
    <row r="246" spans="1:13" ht="40.5" x14ac:dyDescent="0.25">
      <c r="A246" s="16" t="s">
        <v>362</v>
      </c>
      <c r="B246" s="15" t="s">
        <v>10</v>
      </c>
      <c r="C246" s="5">
        <v>343</v>
      </c>
      <c r="D246" s="5" t="s">
        <v>1387</v>
      </c>
      <c r="E246" s="16">
        <v>1</v>
      </c>
      <c r="F246" s="6" t="s">
        <v>632</v>
      </c>
      <c r="G246" s="10" t="s">
        <v>99</v>
      </c>
      <c r="H246" s="10" t="s">
        <v>201</v>
      </c>
      <c r="I246" s="10" t="s">
        <v>101</v>
      </c>
      <c r="J246" s="29" t="s">
        <v>1020</v>
      </c>
      <c r="K246" s="1">
        <f t="shared" si="9"/>
        <v>342</v>
      </c>
      <c r="L246" s="1" t="str">
        <f t="shared" si="10"/>
        <v>156</v>
      </c>
      <c r="M246" s="1" t="str">
        <f t="shared" si="11"/>
        <v>0x00156</v>
      </c>
    </row>
    <row r="247" spans="1:13" ht="40.5" x14ac:dyDescent="0.25">
      <c r="A247" s="16" t="s">
        <v>363</v>
      </c>
      <c r="B247" s="15" t="s">
        <v>10</v>
      </c>
      <c r="C247" s="5">
        <v>344</v>
      </c>
      <c r="D247" s="5" t="s">
        <v>1388</v>
      </c>
      <c r="E247" s="16">
        <v>1</v>
      </c>
      <c r="F247" s="6" t="s">
        <v>632</v>
      </c>
      <c r="G247" s="10" t="s">
        <v>99</v>
      </c>
      <c r="H247" s="10" t="s">
        <v>201</v>
      </c>
      <c r="I247" s="10" t="s">
        <v>101</v>
      </c>
      <c r="J247" s="29" t="s">
        <v>1020</v>
      </c>
      <c r="K247" s="1">
        <f t="shared" si="9"/>
        <v>343</v>
      </c>
      <c r="L247" s="1" t="str">
        <f t="shared" si="10"/>
        <v>157</v>
      </c>
      <c r="M247" s="1" t="str">
        <f t="shared" si="11"/>
        <v>0x00157</v>
      </c>
    </row>
    <row r="248" spans="1:13" ht="40.5" x14ac:dyDescent="0.25">
      <c r="A248" s="16" t="s">
        <v>364</v>
      </c>
      <c r="B248" s="15" t="s">
        <v>10</v>
      </c>
      <c r="C248" s="5">
        <v>345</v>
      </c>
      <c r="D248" s="5" t="s">
        <v>1389</v>
      </c>
      <c r="E248" s="16">
        <v>1</v>
      </c>
      <c r="F248" s="6" t="s">
        <v>632</v>
      </c>
      <c r="G248" s="10" t="s">
        <v>99</v>
      </c>
      <c r="H248" s="10" t="s">
        <v>201</v>
      </c>
      <c r="I248" s="10" t="s">
        <v>101</v>
      </c>
      <c r="J248" s="29" t="s">
        <v>1020</v>
      </c>
      <c r="K248" s="1">
        <f t="shared" si="9"/>
        <v>344</v>
      </c>
      <c r="L248" s="1" t="str">
        <f t="shared" si="10"/>
        <v>158</v>
      </c>
      <c r="M248" s="1" t="str">
        <f t="shared" si="11"/>
        <v>0x00158</v>
      </c>
    </row>
    <row r="249" spans="1:13" ht="40.5" x14ac:dyDescent="0.25">
      <c r="A249" s="16" t="s">
        <v>365</v>
      </c>
      <c r="B249" s="15" t="s">
        <v>10</v>
      </c>
      <c r="C249" s="5">
        <v>346</v>
      </c>
      <c r="D249" s="5" t="s">
        <v>1390</v>
      </c>
      <c r="E249" s="16">
        <v>1</v>
      </c>
      <c r="F249" s="6" t="s">
        <v>632</v>
      </c>
      <c r="G249" s="10" t="s">
        <v>99</v>
      </c>
      <c r="H249" s="10" t="s">
        <v>201</v>
      </c>
      <c r="I249" s="10" t="s">
        <v>101</v>
      </c>
      <c r="J249" s="29" t="s">
        <v>1020</v>
      </c>
      <c r="K249" s="1">
        <f t="shared" si="9"/>
        <v>345</v>
      </c>
      <c r="L249" s="1" t="str">
        <f t="shared" si="10"/>
        <v>159</v>
      </c>
      <c r="M249" s="1" t="str">
        <f t="shared" si="11"/>
        <v>0x00159</v>
      </c>
    </row>
    <row r="250" spans="1:13" ht="40.5" x14ac:dyDescent="0.25">
      <c r="A250" s="16" t="s">
        <v>366</v>
      </c>
      <c r="B250" s="15" t="s">
        <v>10</v>
      </c>
      <c r="C250" s="5">
        <v>347</v>
      </c>
      <c r="D250" s="5" t="s">
        <v>1391</v>
      </c>
      <c r="E250" s="16">
        <v>1</v>
      </c>
      <c r="F250" s="6" t="s">
        <v>632</v>
      </c>
      <c r="G250" s="10" t="s">
        <v>99</v>
      </c>
      <c r="H250" s="10" t="s">
        <v>201</v>
      </c>
      <c r="I250" s="10" t="s">
        <v>101</v>
      </c>
      <c r="J250" s="29" t="s">
        <v>1020</v>
      </c>
      <c r="K250" s="1">
        <f t="shared" si="9"/>
        <v>346</v>
      </c>
      <c r="L250" s="1" t="str">
        <f t="shared" si="10"/>
        <v>15A</v>
      </c>
      <c r="M250" s="1" t="str">
        <f t="shared" si="11"/>
        <v>0x0015A</v>
      </c>
    </row>
    <row r="251" spans="1:13" ht="40.5" x14ac:dyDescent="0.25">
      <c r="A251" s="16" t="s">
        <v>367</v>
      </c>
      <c r="B251" s="15" t="s">
        <v>10</v>
      </c>
      <c r="C251" s="5">
        <v>348</v>
      </c>
      <c r="D251" s="5" t="s">
        <v>1392</v>
      </c>
      <c r="E251" s="16">
        <v>1</v>
      </c>
      <c r="F251" s="6" t="s">
        <v>632</v>
      </c>
      <c r="G251" s="10" t="s">
        <v>99</v>
      </c>
      <c r="H251" s="10" t="s">
        <v>201</v>
      </c>
      <c r="I251" s="10" t="s">
        <v>101</v>
      </c>
      <c r="J251" s="29" t="s">
        <v>1020</v>
      </c>
      <c r="K251" s="1">
        <f t="shared" si="9"/>
        <v>347</v>
      </c>
      <c r="L251" s="1" t="str">
        <f t="shared" si="10"/>
        <v>15B</v>
      </c>
      <c r="M251" s="1" t="str">
        <f t="shared" si="11"/>
        <v>0x0015B</v>
      </c>
    </row>
    <row r="252" spans="1:13" ht="40.5" x14ac:dyDescent="0.25">
      <c r="A252" s="16" t="s">
        <v>368</v>
      </c>
      <c r="B252" s="15" t="s">
        <v>10</v>
      </c>
      <c r="C252" s="5">
        <v>349</v>
      </c>
      <c r="D252" s="5" t="s">
        <v>1393</v>
      </c>
      <c r="E252" s="16">
        <v>1</v>
      </c>
      <c r="F252" s="6" t="s">
        <v>632</v>
      </c>
      <c r="G252" s="10" t="s">
        <v>99</v>
      </c>
      <c r="H252" s="10" t="s">
        <v>201</v>
      </c>
      <c r="I252" s="10" t="s">
        <v>101</v>
      </c>
      <c r="J252" s="29" t="s">
        <v>1020</v>
      </c>
      <c r="K252" s="1">
        <f t="shared" si="9"/>
        <v>348</v>
      </c>
      <c r="L252" s="1" t="str">
        <f t="shared" si="10"/>
        <v>15C</v>
      </c>
      <c r="M252" s="1" t="str">
        <f t="shared" si="11"/>
        <v>0x0015C</v>
      </c>
    </row>
    <row r="253" spans="1:13" ht="40.5" x14ac:dyDescent="0.25">
      <c r="A253" s="16" t="s">
        <v>369</v>
      </c>
      <c r="B253" s="15" t="s">
        <v>10</v>
      </c>
      <c r="C253" s="5">
        <v>350</v>
      </c>
      <c r="D253" s="5" t="s">
        <v>1394</v>
      </c>
      <c r="E253" s="16">
        <v>1</v>
      </c>
      <c r="F253" s="6" t="s">
        <v>632</v>
      </c>
      <c r="G253" s="10" t="s">
        <v>99</v>
      </c>
      <c r="H253" s="10" t="s">
        <v>201</v>
      </c>
      <c r="I253" s="10" t="s">
        <v>101</v>
      </c>
      <c r="J253" s="29" t="s">
        <v>1020</v>
      </c>
      <c r="K253" s="1">
        <f t="shared" si="9"/>
        <v>349</v>
      </c>
      <c r="L253" s="1" t="str">
        <f t="shared" si="10"/>
        <v>15D</v>
      </c>
      <c r="M253" s="1" t="str">
        <f t="shared" si="11"/>
        <v>0x0015D</v>
      </c>
    </row>
    <row r="254" spans="1:13" ht="40.5" x14ac:dyDescent="0.25">
      <c r="A254" s="16" t="s">
        <v>370</v>
      </c>
      <c r="B254" s="15" t="s">
        <v>10</v>
      </c>
      <c r="C254" s="5">
        <v>351</v>
      </c>
      <c r="D254" s="5" t="s">
        <v>1395</v>
      </c>
      <c r="E254" s="16">
        <v>1</v>
      </c>
      <c r="F254" s="6" t="s">
        <v>632</v>
      </c>
      <c r="G254" s="10" t="s">
        <v>99</v>
      </c>
      <c r="H254" s="10" t="s">
        <v>201</v>
      </c>
      <c r="I254" s="10" t="s">
        <v>101</v>
      </c>
      <c r="J254" s="29" t="s">
        <v>1020</v>
      </c>
      <c r="K254" s="1">
        <f t="shared" si="9"/>
        <v>350</v>
      </c>
      <c r="L254" s="1" t="str">
        <f t="shared" si="10"/>
        <v>15E</v>
      </c>
      <c r="M254" s="1" t="str">
        <f t="shared" si="11"/>
        <v>0x0015E</v>
      </c>
    </row>
    <row r="255" spans="1:13" ht="40.5" x14ac:dyDescent="0.25">
      <c r="A255" s="16" t="s">
        <v>371</v>
      </c>
      <c r="B255" s="15" t="s">
        <v>10</v>
      </c>
      <c r="C255" s="5">
        <v>352</v>
      </c>
      <c r="D255" s="5" t="s">
        <v>1396</v>
      </c>
      <c r="E255" s="16">
        <v>1</v>
      </c>
      <c r="F255" s="6" t="s">
        <v>632</v>
      </c>
      <c r="G255" s="10" t="s">
        <v>99</v>
      </c>
      <c r="H255" s="10" t="s">
        <v>201</v>
      </c>
      <c r="I255" s="10" t="s">
        <v>101</v>
      </c>
      <c r="J255" s="29" t="s">
        <v>1020</v>
      </c>
      <c r="K255" s="1">
        <f t="shared" si="9"/>
        <v>351</v>
      </c>
      <c r="L255" s="1" t="str">
        <f t="shared" si="10"/>
        <v>15F</v>
      </c>
      <c r="M255" s="1" t="str">
        <f t="shared" si="11"/>
        <v>0x0015F</v>
      </c>
    </row>
    <row r="256" spans="1:13" ht="40.5" x14ac:dyDescent="0.25">
      <c r="A256" s="16" t="s">
        <v>372</v>
      </c>
      <c r="B256" s="15" t="s">
        <v>10</v>
      </c>
      <c r="C256" s="5">
        <v>353</v>
      </c>
      <c r="D256" s="5" t="s">
        <v>1397</v>
      </c>
      <c r="E256" s="16">
        <v>1</v>
      </c>
      <c r="F256" s="6" t="s">
        <v>632</v>
      </c>
      <c r="G256" s="10" t="s">
        <v>99</v>
      </c>
      <c r="H256" s="10" t="s">
        <v>201</v>
      </c>
      <c r="I256" s="10" t="s">
        <v>101</v>
      </c>
      <c r="J256" s="29" t="s">
        <v>1020</v>
      </c>
      <c r="K256" s="1">
        <f t="shared" si="9"/>
        <v>352</v>
      </c>
      <c r="L256" s="1" t="str">
        <f t="shared" si="10"/>
        <v>160</v>
      </c>
      <c r="M256" s="1" t="str">
        <f t="shared" si="11"/>
        <v>0x00160</v>
      </c>
    </row>
    <row r="257" spans="1:13" ht="60.75" x14ac:dyDescent="0.25">
      <c r="A257" s="16" t="s">
        <v>373</v>
      </c>
      <c r="B257" s="15" t="s">
        <v>10</v>
      </c>
      <c r="C257" s="5">
        <v>354</v>
      </c>
      <c r="D257" s="5" t="s">
        <v>1398</v>
      </c>
      <c r="E257" s="16">
        <v>1</v>
      </c>
      <c r="F257" s="6" t="s">
        <v>751</v>
      </c>
      <c r="G257" s="10" t="s">
        <v>99</v>
      </c>
      <c r="H257" s="10" t="s">
        <v>201</v>
      </c>
      <c r="I257" s="10" t="s">
        <v>101</v>
      </c>
      <c r="J257" s="29" t="s">
        <v>1020</v>
      </c>
      <c r="K257" s="1">
        <f t="shared" si="9"/>
        <v>353</v>
      </c>
      <c r="L257" s="1" t="str">
        <f t="shared" si="10"/>
        <v>161</v>
      </c>
      <c r="M257" s="1" t="str">
        <f t="shared" si="11"/>
        <v>0x00161</v>
      </c>
    </row>
    <row r="258" spans="1:13" ht="40.5" x14ac:dyDescent="0.25">
      <c r="A258" s="16" t="s">
        <v>374</v>
      </c>
      <c r="B258" s="15" t="s">
        <v>10</v>
      </c>
      <c r="C258" s="5">
        <v>355</v>
      </c>
      <c r="D258" s="5" t="s">
        <v>1399</v>
      </c>
      <c r="E258" s="16">
        <v>1</v>
      </c>
      <c r="F258" s="6" t="s">
        <v>374</v>
      </c>
      <c r="G258" s="10" t="s">
        <v>99</v>
      </c>
      <c r="H258" s="10" t="s">
        <v>201</v>
      </c>
      <c r="I258" s="10" t="s">
        <v>101</v>
      </c>
      <c r="J258" s="29" t="s">
        <v>1020</v>
      </c>
      <c r="K258" s="1">
        <f t="shared" si="9"/>
        <v>354</v>
      </c>
      <c r="L258" s="1" t="str">
        <f t="shared" si="10"/>
        <v>162</v>
      </c>
      <c r="M258" s="1" t="str">
        <f t="shared" si="11"/>
        <v>0x00162</v>
      </c>
    </row>
    <row r="259" spans="1:13" ht="40.5" x14ac:dyDescent="0.25">
      <c r="A259" s="16" t="s">
        <v>375</v>
      </c>
      <c r="B259" s="15" t="s">
        <v>10</v>
      </c>
      <c r="C259" s="5">
        <v>356</v>
      </c>
      <c r="D259" s="5" t="s">
        <v>1400</v>
      </c>
      <c r="E259" s="16">
        <v>1</v>
      </c>
      <c r="F259" s="6" t="s">
        <v>375</v>
      </c>
      <c r="G259" s="10" t="s">
        <v>99</v>
      </c>
      <c r="H259" s="10" t="s">
        <v>201</v>
      </c>
      <c r="I259" s="10" t="s">
        <v>101</v>
      </c>
      <c r="J259" s="29" t="s">
        <v>1020</v>
      </c>
      <c r="K259" s="1">
        <f t="shared" si="9"/>
        <v>355</v>
      </c>
      <c r="L259" s="1" t="str">
        <f t="shared" si="10"/>
        <v>163</v>
      </c>
      <c r="M259" s="1" t="str">
        <f t="shared" si="11"/>
        <v>0x00163</v>
      </c>
    </row>
    <row r="260" spans="1:13" ht="40.5" x14ac:dyDescent="0.25">
      <c r="A260" s="16" t="s">
        <v>376</v>
      </c>
      <c r="B260" s="15" t="s">
        <v>10</v>
      </c>
      <c r="C260" s="5">
        <v>357</v>
      </c>
      <c r="D260" s="5" t="s">
        <v>1401</v>
      </c>
      <c r="E260" s="16">
        <v>1</v>
      </c>
      <c r="F260" s="6" t="s">
        <v>795</v>
      </c>
      <c r="G260" s="10" t="s">
        <v>99</v>
      </c>
      <c r="H260" s="10" t="s">
        <v>201</v>
      </c>
      <c r="I260" s="10" t="s">
        <v>101</v>
      </c>
      <c r="J260" s="29" t="s">
        <v>1020</v>
      </c>
      <c r="K260" s="1">
        <f t="shared" si="9"/>
        <v>356</v>
      </c>
      <c r="L260" s="1" t="str">
        <f t="shared" si="10"/>
        <v>164</v>
      </c>
      <c r="M260" s="1" t="str">
        <f t="shared" si="11"/>
        <v>0x00164</v>
      </c>
    </row>
    <row r="261" spans="1:13" ht="60.75" x14ac:dyDescent="0.25">
      <c r="A261" s="16" t="s">
        <v>115</v>
      </c>
      <c r="B261" s="15" t="s">
        <v>10</v>
      </c>
      <c r="C261" s="5">
        <v>358</v>
      </c>
      <c r="D261" s="5" t="s">
        <v>1402</v>
      </c>
      <c r="E261" s="16">
        <v>1</v>
      </c>
      <c r="F261" s="6" t="s">
        <v>791</v>
      </c>
      <c r="G261" s="10" t="s">
        <v>99</v>
      </c>
      <c r="H261" s="10" t="s">
        <v>201</v>
      </c>
      <c r="I261" s="10" t="s">
        <v>101</v>
      </c>
      <c r="J261" s="29" t="s">
        <v>1020</v>
      </c>
      <c r="K261" s="1">
        <f t="shared" si="9"/>
        <v>357</v>
      </c>
      <c r="L261" s="1" t="str">
        <f t="shared" si="10"/>
        <v>165</v>
      </c>
      <c r="M261" s="1" t="str">
        <f t="shared" si="11"/>
        <v>0x00165</v>
      </c>
    </row>
    <row r="262" spans="1:13" ht="60.75" x14ac:dyDescent="0.25">
      <c r="A262" s="16" t="s">
        <v>116</v>
      </c>
      <c r="B262" s="15" t="s">
        <v>10</v>
      </c>
      <c r="C262" s="5">
        <v>359</v>
      </c>
      <c r="D262" s="5" t="s">
        <v>1403</v>
      </c>
      <c r="E262" s="16">
        <v>1</v>
      </c>
      <c r="F262" s="6" t="s">
        <v>791</v>
      </c>
      <c r="G262" s="10" t="s">
        <v>99</v>
      </c>
      <c r="H262" s="10" t="s">
        <v>201</v>
      </c>
      <c r="I262" s="10" t="s">
        <v>101</v>
      </c>
      <c r="J262" s="29" t="s">
        <v>1020</v>
      </c>
      <c r="K262" s="1">
        <f t="shared" si="9"/>
        <v>358</v>
      </c>
      <c r="L262" s="1" t="str">
        <f t="shared" si="10"/>
        <v>166</v>
      </c>
      <c r="M262" s="1" t="str">
        <f t="shared" si="11"/>
        <v>0x00166</v>
      </c>
    </row>
    <row r="263" spans="1:13" ht="60.75" x14ac:dyDescent="0.25">
      <c r="A263" s="16" t="s">
        <v>117</v>
      </c>
      <c r="B263" s="15" t="s">
        <v>10</v>
      </c>
      <c r="C263" s="5">
        <v>360</v>
      </c>
      <c r="D263" s="5" t="s">
        <v>1404</v>
      </c>
      <c r="E263" s="16">
        <v>1</v>
      </c>
      <c r="F263" s="6" t="s">
        <v>792</v>
      </c>
      <c r="G263" s="10" t="s">
        <v>99</v>
      </c>
      <c r="H263" s="10" t="s">
        <v>201</v>
      </c>
      <c r="I263" s="10" t="s">
        <v>101</v>
      </c>
      <c r="J263" s="29" t="s">
        <v>1020</v>
      </c>
      <c r="K263" s="1">
        <f t="shared" ref="K263:K326" si="12">C263-1</f>
        <v>359</v>
      </c>
      <c r="L263" s="1" t="str">
        <f t="shared" ref="L263:L326" si="13">DEC2HEX(K263)</f>
        <v>167</v>
      </c>
      <c r="M263" s="1" t="str">
        <f t="shared" ref="M263:M326" si="14">_xlfn.CONCAT("0x00", L263)</f>
        <v>0x00167</v>
      </c>
    </row>
    <row r="264" spans="1:13" ht="60.75" x14ac:dyDescent="0.25">
      <c r="A264" s="16" t="s">
        <v>118</v>
      </c>
      <c r="B264" s="15" t="s">
        <v>10</v>
      </c>
      <c r="C264" s="5">
        <v>361</v>
      </c>
      <c r="D264" s="5" t="s">
        <v>1405</v>
      </c>
      <c r="E264" s="16">
        <v>1</v>
      </c>
      <c r="F264" s="6" t="s">
        <v>791</v>
      </c>
      <c r="G264" s="10" t="s">
        <v>99</v>
      </c>
      <c r="H264" s="10" t="s">
        <v>201</v>
      </c>
      <c r="I264" s="10" t="s">
        <v>101</v>
      </c>
      <c r="J264" s="29" t="s">
        <v>1020</v>
      </c>
      <c r="K264" s="1">
        <f t="shared" si="12"/>
        <v>360</v>
      </c>
      <c r="L264" s="1" t="str">
        <f t="shared" si="13"/>
        <v>168</v>
      </c>
      <c r="M264" s="1" t="str">
        <f t="shared" si="14"/>
        <v>0x00168</v>
      </c>
    </row>
    <row r="265" spans="1:13" ht="60.75" x14ac:dyDescent="0.25">
      <c r="A265" s="16" t="s">
        <v>141</v>
      </c>
      <c r="B265" s="15" t="s">
        <v>10</v>
      </c>
      <c r="C265" s="5">
        <v>362</v>
      </c>
      <c r="D265" s="5" t="s">
        <v>1406</v>
      </c>
      <c r="E265" s="16">
        <v>1</v>
      </c>
      <c r="F265" s="6" t="s">
        <v>793</v>
      </c>
      <c r="G265" s="10" t="s">
        <v>99</v>
      </c>
      <c r="H265" s="10" t="s">
        <v>201</v>
      </c>
      <c r="I265" s="10" t="s">
        <v>101</v>
      </c>
      <c r="J265" s="29" t="s">
        <v>1020</v>
      </c>
      <c r="K265" s="1">
        <f t="shared" si="12"/>
        <v>361</v>
      </c>
      <c r="L265" s="1" t="str">
        <f t="shared" si="13"/>
        <v>169</v>
      </c>
      <c r="M265" s="1" t="str">
        <f t="shared" si="14"/>
        <v>0x00169</v>
      </c>
    </row>
    <row r="266" spans="1:13" ht="60.75" x14ac:dyDescent="0.25">
      <c r="A266" s="16" t="s">
        <v>142</v>
      </c>
      <c r="B266" s="15" t="s">
        <v>10</v>
      </c>
      <c r="C266" s="5">
        <v>363</v>
      </c>
      <c r="D266" s="5" t="s">
        <v>1407</v>
      </c>
      <c r="E266" s="16">
        <v>1</v>
      </c>
      <c r="F266" s="6" t="s">
        <v>960</v>
      </c>
      <c r="G266" s="10" t="s">
        <v>99</v>
      </c>
      <c r="H266" s="10" t="s">
        <v>201</v>
      </c>
      <c r="I266" s="10" t="s">
        <v>101</v>
      </c>
      <c r="J266" s="29" t="s">
        <v>1020</v>
      </c>
      <c r="K266" s="1">
        <f t="shared" si="12"/>
        <v>362</v>
      </c>
      <c r="L266" s="1" t="str">
        <f t="shared" si="13"/>
        <v>16A</v>
      </c>
      <c r="M266" s="1" t="str">
        <f t="shared" si="14"/>
        <v>0x0016A</v>
      </c>
    </row>
    <row r="267" spans="1:13" ht="60.75" x14ac:dyDescent="0.25">
      <c r="A267" s="16" t="s">
        <v>143</v>
      </c>
      <c r="B267" s="15" t="s">
        <v>10</v>
      </c>
      <c r="C267" s="5">
        <v>364</v>
      </c>
      <c r="D267" s="5" t="s">
        <v>1408</v>
      </c>
      <c r="E267" s="16">
        <v>1</v>
      </c>
      <c r="F267" s="6" t="s">
        <v>793</v>
      </c>
      <c r="G267" s="10" t="s">
        <v>99</v>
      </c>
      <c r="H267" s="10" t="s">
        <v>201</v>
      </c>
      <c r="I267" s="10" t="s">
        <v>101</v>
      </c>
      <c r="J267" s="29" t="s">
        <v>1020</v>
      </c>
      <c r="K267" s="1">
        <f t="shared" si="12"/>
        <v>363</v>
      </c>
      <c r="L267" s="1" t="str">
        <f t="shared" si="13"/>
        <v>16B</v>
      </c>
      <c r="M267" s="1" t="str">
        <f t="shared" si="14"/>
        <v>0x0016B</v>
      </c>
    </row>
    <row r="268" spans="1:13" ht="60.75" x14ac:dyDescent="0.25">
      <c r="A268" s="16" t="s">
        <v>144</v>
      </c>
      <c r="B268" s="15" t="s">
        <v>10</v>
      </c>
      <c r="C268" s="5">
        <v>365</v>
      </c>
      <c r="D268" s="5" t="s">
        <v>1409</v>
      </c>
      <c r="E268" s="16">
        <v>1</v>
      </c>
      <c r="F268" s="6" t="s">
        <v>960</v>
      </c>
      <c r="G268" s="10" t="s">
        <v>99</v>
      </c>
      <c r="H268" s="10" t="s">
        <v>201</v>
      </c>
      <c r="I268" s="10" t="s">
        <v>101</v>
      </c>
      <c r="J268" s="29" t="s">
        <v>1020</v>
      </c>
      <c r="K268" s="1">
        <f t="shared" si="12"/>
        <v>364</v>
      </c>
      <c r="L268" s="1" t="str">
        <f t="shared" si="13"/>
        <v>16C</v>
      </c>
      <c r="M268" s="1" t="str">
        <f t="shared" si="14"/>
        <v>0x0016C</v>
      </c>
    </row>
    <row r="269" spans="1:13" ht="60.75" x14ac:dyDescent="0.25">
      <c r="A269" s="16" t="s">
        <v>145</v>
      </c>
      <c r="B269" s="15" t="s">
        <v>10</v>
      </c>
      <c r="C269" s="5">
        <v>366</v>
      </c>
      <c r="D269" s="5" t="s">
        <v>1410</v>
      </c>
      <c r="E269" s="16">
        <v>1</v>
      </c>
      <c r="F269" s="6" t="s">
        <v>793</v>
      </c>
      <c r="G269" s="10" t="s">
        <v>99</v>
      </c>
      <c r="H269" s="10" t="s">
        <v>201</v>
      </c>
      <c r="I269" s="10" t="s">
        <v>101</v>
      </c>
      <c r="J269" s="29" t="s">
        <v>1020</v>
      </c>
      <c r="K269" s="1">
        <f t="shared" si="12"/>
        <v>365</v>
      </c>
      <c r="L269" s="1" t="str">
        <f t="shared" si="13"/>
        <v>16D</v>
      </c>
      <c r="M269" s="1" t="str">
        <f t="shared" si="14"/>
        <v>0x0016D</v>
      </c>
    </row>
    <row r="270" spans="1:13" ht="60.75" x14ac:dyDescent="0.25">
      <c r="A270" s="16" t="s">
        <v>146</v>
      </c>
      <c r="B270" s="15" t="s">
        <v>10</v>
      </c>
      <c r="C270" s="5">
        <v>367</v>
      </c>
      <c r="D270" s="5" t="s">
        <v>1411</v>
      </c>
      <c r="E270" s="16">
        <v>1</v>
      </c>
      <c r="F270" s="6" t="s">
        <v>960</v>
      </c>
      <c r="G270" s="10" t="s">
        <v>99</v>
      </c>
      <c r="H270" s="10" t="s">
        <v>201</v>
      </c>
      <c r="I270" s="10" t="s">
        <v>101</v>
      </c>
      <c r="J270" s="29" t="s">
        <v>1020</v>
      </c>
      <c r="K270" s="1">
        <f t="shared" si="12"/>
        <v>366</v>
      </c>
      <c r="L270" s="1" t="str">
        <f t="shared" si="13"/>
        <v>16E</v>
      </c>
      <c r="M270" s="1" t="str">
        <f t="shared" si="14"/>
        <v>0x0016E</v>
      </c>
    </row>
    <row r="271" spans="1:13" ht="60.75" x14ac:dyDescent="0.25">
      <c r="A271" s="16" t="s">
        <v>147</v>
      </c>
      <c r="B271" s="15" t="s">
        <v>10</v>
      </c>
      <c r="C271" s="5">
        <v>368</v>
      </c>
      <c r="D271" s="5" t="s">
        <v>1412</v>
      </c>
      <c r="E271" s="16">
        <v>1</v>
      </c>
      <c r="F271" s="6" t="s">
        <v>794</v>
      </c>
      <c r="G271" s="10" t="s">
        <v>99</v>
      </c>
      <c r="H271" s="10" t="s">
        <v>201</v>
      </c>
      <c r="I271" s="10" t="s">
        <v>101</v>
      </c>
      <c r="J271" s="29" t="s">
        <v>1020</v>
      </c>
      <c r="K271" s="1">
        <f t="shared" si="12"/>
        <v>367</v>
      </c>
      <c r="L271" s="1" t="str">
        <f t="shared" si="13"/>
        <v>16F</v>
      </c>
      <c r="M271" s="1" t="str">
        <f t="shared" si="14"/>
        <v>0x0016F</v>
      </c>
    </row>
    <row r="272" spans="1:13" ht="60.75" x14ac:dyDescent="0.25">
      <c r="A272" s="16" t="s">
        <v>148</v>
      </c>
      <c r="B272" s="15" t="s">
        <v>10</v>
      </c>
      <c r="C272" s="5">
        <v>369</v>
      </c>
      <c r="D272" s="5" t="s">
        <v>1413</v>
      </c>
      <c r="E272" s="16">
        <v>1</v>
      </c>
      <c r="F272" s="6" t="s">
        <v>960</v>
      </c>
      <c r="G272" s="10" t="s">
        <v>99</v>
      </c>
      <c r="H272" s="10" t="s">
        <v>201</v>
      </c>
      <c r="I272" s="10" t="s">
        <v>101</v>
      </c>
      <c r="J272" s="29" t="s">
        <v>1020</v>
      </c>
      <c r="K272" s="1">
        <f t="shared" si="12"/>
        <v>368</v>
      </c>
      <c r="L272" s="1" t="str">
        <f t="shared" si="13"/>
        <v>170</v>
      </c>
      <c r="M272" s="1" t="str">
        <f t="shared" si="14"/>
        <v>0x00170</v>
      </c>
    </row>
    <row r="273" spans="1:13" ht="81" x14ac:dyDescent="0.25">
      <c r="A273" s="16" t="s">
        <v>377</v>
      </c>
      <c r="B273" s="15" t="s">
        <v>10</v>
      </c>
      <c r="C273" s="5">
        <v>370</v>
      </c>
      <c r="D273" s="5" t="s">
        <v>1414</v>
      </c>
      <c r="E273" s="16">
        <v>1</v>
      </c>
      <c r="F273" s="6" t="s">
        <v>753</v>
      </c>
      <c r="G273" s="10" t="s">
        <v>99</v>
      </c>
      <c r="H273" s="10" t="s">
        <v>201</v>
      </c>
      <c r="I273" s="10" t="s">
        <v>101</v>
      </c>
      <c r="J273" s="29" t="s">
        <v>1020</v>
      </c>
      <c r="K273" s="1">
        <f t="shared" si="12"/>
        <v>369</v>
      </c>
      <c r="L273" s="1" t="str">
        <f t="shared" si="13"/>
        <v>171</v>
      </c>
      <c r="M273" s="1" t="str">
        <f t="shared" si="14"/>
        <v>0x00171</v>
      </c>
    </row>
    <row r="274" spans="1:13" ht="81" x14ac:dyDescent="0.25">
      <c r="A274" s="16" t="s">
        <v>378</v>
      </c>
      <c r="B274" s="15" t="s">
        <v>10</v>
      </c>
      <c r="C274" s="5">
        <v>371</v>
      </c>
      <c r="D274" s="5" t="s">
        <v>1415</v>
      </c>
      <c r="E274" s="16">
        <v>1</v>
      </c>
      <c r="F274" s="6" t="s">
        <v>752</v>
      </c>
      <c r="G274" s="10" t="s">
        <v>99</v>
      </c>
      <c r="H274" s="10" t="s">
        <v>201</v>
      </c>
      <c r="I274" s="10" t="s">
        <v>101</v>
      </c>
      <c r="J274" s="29" t="s">
        <v>1020</v>
      </c>
      <c r="K274" s="1">
        <f t="shared" si="12"/>
        <v>370</v>
      </c>
      <c r="L274" s="1" t="str">
        <f t="shared" si="13"/>
        <v>172</v>
      </c>
      <c r="M274" s="1" t="str">
        <f t="shared" si="14"/>
        <v>0x00172</v>
      </c>
    </row>
    <row r="275" spans="1:13" ht="40.5" x14ac:dyDescent="0.25">
      <c r="A275" s="16" t="s">
        <v>379</v>
      </c>
      <c r="B275" s="15" t="s">
        <v>10</v>
      </c>
      <c r="C275" s="5">
        <v>372</v>
      </c>
      <c r="D275" s="5" t="s">
        <v>1416</v>
      </c>
      <c r="E275" s="16">
        <v>1</v>
      </c>
      <c r="F275" s="6" t="s">
        <v>890</v>
      </c>
      <c r="G275" s="10" t="s">
        <v>99</v>
      </c>
      <c r="H275" s="10" t="s">
        <v>201</v>
      </c>
      <c r="I275" s="10" t="s">
        <v>101</v>
      </c>
      <c r="J275" s="29" t="s">
        <v>1020</v>
      </c>
      <c r="K275" s="1">
        <f t="shared" si="12"/>
        <v>371</v>
      </c>
      <c r="L275" s="1" t="str">
        <f t="shared" si="13"/>
        <v>173</v>
      </c>
      <c r="M275" s="1" t="str">
        <f t="shared" si="14"/>
        <v>0x00173</v>
      </c>
    </row>
    <row r="276" spans="1:13" ht="60.75" x14ac:dyDescent="0.25">
      <c r="A276" s="16" t="s">
        <v>380</v>
      </c>
      <c r="B276" s="15" t="s">
        <v>10</v>
      </c>
      <c r="C276" s="5">
        <v>373</v>
      </c>
      <c r="D276" s="5" t="s">
        <v>1417</v>
      </c>
      <c r="E276" s="16">
        <v>1</v>
      </c>
      <c r="F276" s="6" t="s">
        <v>740</v>
      </c>
      <c r="G276" s="10" t="s">
        <v>381</v>
      </c>
      <c r="H276" s="18">
        <v>-1.25</v>
      </c>
      <c r="I276" s="10" t="s">
        <v>382</v>
      </c>
      <c r="J276" s="29" t="s">
        <v>1120</v>
      </c>
      <c r="K276" s="1">
        <f t="shared" si="12"/>
        <v>372</v>
      </c>
      <c r="L276" s="1" t="str">
        <f t="shared" si="13"/>
        <v>174</v>
      </c>
      <c r="M276" s="1" t="str">
        <f t="shared" si="14"/>
        <v>0x00174</v>
      </c>
    </row>
    <row r="277" spans="1:13" ht="60.75" x14ac:dyDescent="0.25">
      <c r="A277" s="16" t="s">
        <v>383</v>
      </c>
      <c r="B277" s="15" t="s">
        <v>10</v>
      </c>
      <c r="C277" s="5">
        <v>374</v>
      </c>
      <c r="D277" s="5" t="s">
        <v>1418</v>
      </c>
      <c r="E277" s="16">
        <v>1</v>
      </c>
      <c r="F277" s="6" t="s">
        <v>961</v>
      </c>
      <c r="G277" s="10" t="s">
        <v>381</v>
      </c>
      <c r="H277" s="18">
        <v>-1.25</v>
      </c>
      <c r="I277" s="10" t="s">
        <v>382</v>
      </c>
      <c r="J277" s="29" t="s">
        <v>1120</v>
      </c>
      <c r="K277" s="1">
        <f t="shared" si="12"/>
        <v>373</v>
      </c>
      <c r="L277" s="1" t="str">
        <f t="shared" si="13"/>
        <v>175</v>
      </c>
      <c r="M277" s="1" t="str">
        <f t="shared" si="14"/>
        <v>0x00175</v>
      </c>
    </row>
    <row r="278" spans="1:13" ht="60.75" x14ac:dyDescent="0.25">
      <c r="A278" s="16" t="s">
        <v>384</v>
      </c>
      <c r="B278" s="15" t="s">
        <v>10</v>
      </c>
      <c r="C278" s="5">
        <v>375</v>
      </c>
      <c r="D278" s="5" t="s">
        <v>1419</v>
      </c>
      <c r="E278" s="16">
        <v>1</v>
      </c>
      <c r="F278" s="6" t="s">
        <v>741</v>
      </c>
      <c r="G278" s="10" t="s">
        <v>381</v>
      </c>
      <c r="H278" s="18">
        <v>-1.25</v>
      </c>
      <c r="I278" s="10" t="s">
        <v>382</v>
      </c>
      <c r="J278" s="29" t="s">
        <v>1120</v>
      </c>
      <c r="K278" s="1">
        <f t="shared" si="12"/>
        <v>374</v>
      </c>
      <c r="L278" s="1" t="str">
        <f t="shared" si="13"/>
        <v>176</v>
      </c>
      <c r="M278" s="1" t="str">
        <f t="shared" si="14"/>
        <v>0x00176</v>
      </c>
    </row>
    <row r="279" spans="1:13" ht="60.75" x14ac:dyDescent="0.25">
      <c r="A279" s="16" t="s">
        <v>385</v>
      </c>
      <c r="B279" s="15" t="s">
        <v>10</v>
      </c>
      <c r="C279" s="5">
        <v>376</v>
      </c>
      <c r="D279" s="5" t="s">
        <v>1420</v>
      </c>
      <c r="E279" s="16">
        <v>1</v>
      </c>
      <c r="F279" s="6" t="s">
        <v>742</v>
      </c>
      <c r="G279" s="10" t="s">
        <v>381</v>
      </c>
      <c r="H279" s="18">
        <v>-1.25</v>
      </c>
      <c r="I279" s="10" t="s">
        <v>382</v>
      </c>
      <c r="J279" s="29" t="s">
        <v>1120</v>
      </c>
      <c r="K279" s="1">
        <f t="shared" si="12"/>
        <v>375</v>
      </c>
      <c r="L279" s="1" t="str">
        <f t="shared" si="13"/>
        <v>177</v>
      </c>
      <c r="M279" s="1" t="str">
        <f t="shared" si="14"/>
        <v>0x00177</v>
      </c>
    </row>
    <row r="280" spans="1:13" ht="60.75" x14ac:dyDescent="0.25">
      <c r="A280" s="16" t="s">
        <v>386</v>
      </c>
      <c r="B280" s="15" t="s">
        <v>10</v>
      </c>
      <c r="C280" s="5">
        <v>377</v>
      </c>
      <c r="D280" s="5" t="s">
        <v>1421</v>
      </c>
      <c r="E280" s="16">
        <v>1</v>
      </c>
      <c r="F280" s="6" t="s">
        <v>962</v>
      </c>
      <c r="G280" s="10" t="s">
        <v>381</v>
      </c>
      <c r="H280" s="18">
        <v>-1.25</v>
      </c>
      <c r="I280" s="10" t="s">
        <v>382</v>
      </c>
      <c r="J280" s="29" t="s">
        <v>1120</v>
      </c>
      <c r="K280" s="1">
        <f t="shared" si="12"/>
        <v>376</v>
      </c>
      <c r="L280" s="1" t="str">
        <f t="shared" si="13"/>
        <v>178</v>
      </c>
      <c r="M280" s="1" t="str">
        <f t="shared" si="14"/>
        <v>0x00178</v>
      </c>
    </row>
    <row r="281" spans="1:13" ht="60.75" x14ac:dyDescent="0.25">
      <c r="A281" s="16" t="s">
        <v>387</v>
      </c>
      <c r="B281" s="15" t="s">
        <v>10</v>
      </c>
      <c r="C281" s="5">
        <v>378</v>
      </c>
      <c r="D281" s="5" t="s">
        <v>1422</v>
      </c>
      <c r="E281" s="16">
        <v>1</v>
      </c>
      <c r="F281" s="6" t="s">
        <v>743</v>
      </c>
      <c r="G281" s="10" t="s">
        <v>381</v>
      </c>
      <c r="H281" s="18">
        <v>-1.25</v>
      </c>
      <c r="I281" s="10" t="s">
        <v>382</v>
      </c>
      <c r="J281" s="29" t="s">
        <v>1120</v>
      </c>
      <c r="K281" s="1">
        <f t="shared" si="12"/>
        <v>377</v>
      </c>
      <c r="L281" s="1" t="str">
        <f t="shared" si="13"/>
        <v>179</v>
      </c>
      <c r="M281" s="1" t="str">
        <f t="shared" si="14"/>
        <v>0x00179</v>
      </c>
    </row>
    <row r="282" spans="1:13" ht="60.75" x14ac:dyDescent="0.25">
      <c r="A282" s="16" t="s">
        <v>388</v>
      </c>
      <c r="B282" s="15" t="s">
        <v>10</v>
      </c>
      <c r="C282" s="5">
        <v>379</v>
      </c>
      <c r="D282" s="5" t="s">
        <v>1423</v>
      </c>
      <c r="E282" s="16">
        <v>1</v>
      </c>
      <c r="F282" s="6" t="s">
        <v>744</v>
      </c>
      <c r="G282" s="10" t="s">
        <v>381</v>
      </c>
      <c r="H282" s="18">
        <v>-1.25</v>
      </c>
      <c r="I282" s="10" t="s">
        <v>382</v>
      </c>
      <c r="J282" s="29" t="s">
        <v>1120</v>
      </c>
      <c r="K282" s="1">
        <f t="shared" si="12"/>
        <v>378</v>
      </c>
      <c r="L282" s="1" t="str">
        <f t="shared" si="13"/>
        <v>17A</v>
      </c>
      <c r="M282" s="1" t="str">
        <f t="shared" si="14"/>
        <v>0x0017A</v>
      </c>
    </row>
    <row r="283" spans="1:13" ht="60.75" x14ac:dyDescent="0.25">
      <c r="A283" s="16" t="s">
        <v>389</v>
      </c>
      <c r="B283" s="15" t="s">
        <v>10</v>
      </c>
      <c r="C283" s="5">
        <v>380</v>
      </c>
      <c r="D283" s="5" t="s">
        <v>1424</v>
      </c>
      <c r="E283" s="16">
        <v>1</v>
      </c>
      <c r="F283" s="6" t="s">
        <v>745</v>
      </c>
      <c r="G283" s="10" t="s">
        <v>381</v>
      </c>
      <c r="H283" s="18">
        <v>-1.25</v>
      </c>
      <c r="I283" s="10" t="s">
        <v>382</v>
      </c>
      <c r="J283" s="29" t="s">
        <v>1120</v>
      </c>
      <c r="K283" s="1">
        <f t="shared" si="12"/>
        <v>379</v>
      </c>
      <c r="L283" s="1" t="str">
        <f t="shared" si="13"/>
        <v>17B</v>
      </c>
      <c r="M283" s="1" t="str">
        <f t="shared" si="14"/>
        <v>0x0017B</v>
      </c>
    </row>
    <row r="284" spans="1:13" ht="60.75" x14ac:dyDescent="0.25">
      <c r="A284" s="16" t="s">
        <v>390</v>
      </c>
      <c r="B284" s="15" t="s">
        <v>10</v>
      </c>
      <c r="C284" s="5">
        <v>381</v>
      </c>
      <c r="D284" s="5" t="s">
        <v>1425</v>
      </c>
      <c r="E284" s="16">
        <v>1</v>
      </c>
      <c r="F284" s="6" t="s">
        <v>963</v>
      </c>
      <c r="G284" s="10" t="s">
        <v>381</v>
      </c>
      <c r="H284" s="18">
        <v>-1.25</v>
      </c>
      <c r="I284" s="10" t="s">
        <v>382</v>
      </c>
      <c r="J284" s="29" t="s">
        <v>1120</v>
      </c>
      <c r="K284" s="1">
        <f t="shared" si="12"/>
        <v>380</v>
      </c>
      <c r="L284" s="1" t="str">
        <f t="shared" si="13"/>
        <v>17C</v>
      </c>
      <c r="M284" s="1" t="str">
        <f t="shared" si="14"/>
        <v>0x0017C</v>
      </c>
    </row>
    <row r="285" spans="1:13" ht="60.75" x14ac:dyDescent="0.25">
      <c r="A285" s="16" t="s">
        <v>391</v>
      </c>
      <c r="B285" s="15" t="s">
        <v>10</v>
      </c>
      <c r="C285" s="5">
        <v>382</v>
      </c>
      <c r="D285" s="5" t="s">
        <v>1426</v>
      </c>
      <c r="E285" s="16">
        <v>1</v>
      </c>
      <c r="F285" s="6" t="s">
        <v>746</v>
      </c>
      <c r="G285" s="10" t="s">
        <v>381</v>
      </c>
      <c r="H285" s="18">
        <v>-1.25</v>
      </c>
      <c r="I285" s="10" t="s">
        <v>382</v>
      </c>
      <c r="J285" s="29" t="s">
        <v>1120</v>
      </c>
      <c r="K285" s="1">
        <f t="shared" si="12"/>
        <v>381</v>
      </c>
      <c r="L285" s="1" t="str">
        <f t="shared" si="13"/>
        <v>17D</v>
      </c>
      <c r="M285" s="1" t="str">
        <f t="shared" si="14"/>
        <v>0x0017D</v>
      </c>
    </row>
    <row r="286" spans="1:13" ht="60.75" x14ac:dyDescent="0.25">
      <c r="A286" s="16" t="s">
        <v>392</v>
      </c>
      <c r="B286" s="15" t="s">
        <v>10</v>
      </c>
      <c r="C286" s="5">
        <v>383</v>
      </c>
      <c r="D286" s="5" t="s">
        <v>1427</v>
      </c>
      <c r="E286" s="16">
        <v>1</v>
      </c>
      <c r="F286" s="6" t="s">
        <v>964</v>
      </c>
      <c r="G286" s="10" t="s">
        <v>381</v>
      </c>
      <c r="H286" s="18">
        <v>-1.25</v>
      </c>
      <c r="I286" s="10" t="s">
        <v>382</v>
      </c>
      <c r="J286" s="29" t="s">
        <v>1120</v>
      </c>
      <c r="K286" s="1">
        <f t="shared" si="12"/>
        <v>382</v>
      </c>
      <c r="L286" s="1" t="str">
        <f t="shared" si="13"/>
        <v>17E</v>
      </c>
      <c r="M286" s="1" t="str">
        <f t="shared" si="14"/>
        <v>0x0017E</v>
      </c>
    </row>
    <row r="287" spans="1:13" ht="60.75" x14ac:dyDescent="0.25">
      <c r="A287" s="16" t="s">
        <v>393</v>
      </c>
      <c r="B287" s="15" t="s">
        <v>10</v>
      </c>
      <c r="C287" s="5">
        <v>384</v>
      </c>
      <c r="D287" s="5" t="s">
        <v>1428</v>
      </c>
      <c r="E287" s="16">
        <v>1</v>
      </c>
      <c r="F287" s="6" t="s">
        <v>965</v>
      </c>
      <c r="G287" s="10" t="s">
        <v>381</v>
      </c>
      <c r="H287" s="18">
        <v>-1.25</v>
      </c>
      <c r="I287" s="10" t="s">
        <v>382</v>
      </c>
      <c r="J287" s="29" t="s">
        <v>1120</v>
      </c>
      <c r="K287" s="1">
        <f t="shared" si="12"/>
        <v>383</v>
      </c>
      <c r="L287" s="1" t="str">
        <f t="shared" si="13"/>
        <v>17F</v>
      </c>
      <c r="M287" s="1" t="str">
        <f t="shared" si="14"/>
        <v>0x0017F</v>
      </c>
    </row>
    <row r="288" spans="1:13" ht="60.75" x14ac:dyDescent="0.25">
      <c r="A288" s="16" t="s">
        <v>394</v>
      </c>
      <c r="B288" s="15" t="s">
        <v>10</v>
      </c>
      <c r="C288" s="5">
        <v>385</v>
      </c>
      <c r="D288" s="5" t="s">
        <v>1429</v>
      </c>
      <c r="E288" s="16">
        <v>1</v>
      </c>
      <c r="F288" s="6" t="s">
        <v>966</v>
      </c>
      <c r="G288" s="10" t="s">
        <v>381</v>
      </c>
      <c r="H288" s="18">
        <v>-1.25</v>
      </c>
      <c r="I288" s="10" t="s">
        <v>382</v>
      </c>
      <c r="J288" s="29" t="s">
        <v>1120</v>
      </c>
      <c r="K288" s="1">
        <f t="shared" si="12"/>
        <v>384</v>
      </c>
      <c r="L288" s="1" t="str">
        <f t="shared" si="13"/>
        <v>180</v>
      </c>
      <c r="M288" s="1" t="str">
        <f t="shared" si="14"/>
        <v>0x00180</v>
      </c>
    </row>
    <row r="289" spans="1:13" ht="60.75" x14ac:dyDescent="0.25">
      <c r="A289" s="16" t="s">
        <v>395</v>
      </c>
      <c r="B289" s="15" t="s">
        <v>10</v>
      </c>
      <c r="C289" s="5">
        <v>386</v>
      </c>
      <c r="D289" s="5" t="s">
        <v>1430</v>
      </c>
      <c r="E289" s="16">
        <v>1</v>
      </c>
      <c r="F289" s="6" t="s">
        <v>716</v>
      </c>
      <c r="G289" s="10" t="s">
        <v>381</v>
      </c>
      <c r="H289" s="18">
        <v>-1.25</v>
      </c>
      <c r="I289" s="10" t="s">
        <v>382</v>
      </c>
      <c r="J289" s="29" t="s">
        <v>1120</v>
      </c>
      <c r="K289" s="1">
        <f t="shared" si="12"/>
        <v>385</v>
      </c>
      <c r="L289" s="1" t="str">
        <f t="shared" si="13"/>
        <v>181</v>
      </c>
      <c r="M289" s="1" t="str">
        <f t="shared" si="14"/>
        <v>0x00181</v>
      </c>
    </row>
    <row r="290" spans="1:13" ht="60.75" x14ac:dyDescent="0.25">
      <c r="A290" s="16" t="s">
        <v>396</v>
      </c>
      <c r="B290" s="15" t="s">
        <v>10</v>
      </c>
      <c r="C290" s="5">
        <v>387</v>
      </c>
      <c r="D290" s="5" t="s">
        <v>1431</v>
      </c>
      <c r="E290" s="16">
        <v>1</v>
      </c>
      <c r="F290" s="6" t="s">
        <v>967</v>
      </c>
      <c r="G290" s="10" t="s">
        <v>381</v>
      </c>
      <c r="H290" s="18">
        <v>-1.25</v>
      </c>
      <c r="I290" s="10" t="s">
        <v>382</v>
      </c>
      <c r="J290" s="29" t="s">
        <v>1120</v>
      </c>
      <c r="K290" s="1">
        <f t="shared" si="12"/>
        <v>386</v>
      </c>
      <c r="L290" s="1" t="str">
        <f t="shared" si="13"/>
        <v>182</v>
      </c>
      <c r="M290" s="1" t="str">
        <f t="shared" si="14"/>
        <v>0x00182</v>
      </c>
    </row>
    <row r="291" spans="1:13" ht="60.75" x14ac:dyDescent="0.25">
      <c r="A291" s="16" t="s">
        <v>397</v>
      </c>
      <c r="B291" s="15" t="s">
        <v>10</v>
      </c>
      <c r="C291" s="5">
        <v>388</v>
      </c>
      <c r="D291" s="5" t="s">
        <v>1432</v>
      </c>
      <c r="E291" s="16">
        <v>1</v>
      </c>
      <c r="F291" s="6" t="s">
        <v>717</v>
      </c>
      <c r="G291" s="10" t="s">
        <v>381</v>
      </c>
      <c r="H291" s="18">
        <v>-1.25</v>
      </c>
      <c r="I291" s="10" t="s">
        <v>382</v>
      </c>
      <c r="J291" s="29" t="s">
        <v>1120</v>
      </c>
      <c r="K291" s="1">
        <f t="shared" si="12"/>
        <v>387</v>
      </c>
      <c r="L291" s="1" t="str">
        <f t="shared" si="13"/>
        <v>183</v>
      </c>
      <c r="M291" s="1" t="str">
        <f t="shared" si="14"/>
        <v>0x00183</v>
      </c>
    </row>
    <row r="292" spans="1:13" ht="60.75" x14ac:dyDescent="0.25">
      <c r="A292" s="16" t="s">
        <v>398</v>
      </c>
      <c r="B292" s="15" t="s">
        <v>10</v>
      </c>
      <c r="C292" s="5">
        <v>389</v>
      </c>
      <c r="D292" s="5" t="s">
        <v>1433</v>
      </c>
      <c r="E292" s="16">
        <v>1</v>
      </c>
      <c r="F292" s="6" t="s">
        <v>968</v>
      </c>
      <c r="G292" s="10" t="s">
        <v>381</v>
      </c>
      <c r="H292" s="18">
        <v>-1.25</v>
      </c>
      <c r="I292" s="10" t="s">
        <v>382</v>
      </c>
      <c r="J292" s="29" t="s">
        <v>1120</v>
      </c>
      <c r="K292" s="1">
        <f t="shared" si="12"/>
        <v>388</v>
      </c>
      <c r="L292" s="1" t="str">
        <f t="shared" si="13"/>
        <v>184</v>
      </c>
      <c r="M292" s="1" t="str">
        <f t="shared" si="14"/>
        <v>0x00184</v>
      </c>
    </row>
    <row r="293" spans="1:13" ht="60.75" x14ac:dyDescent="0.25">
      <c r="A293" s="16" t="s">
        <v>399</v>
      </c>
      <c r="B293" s="15" t="s">
        <v>10</v>
      </c>
      <c r="C293" s="5">
        <v>390</v>
      </c>
      <c r="D293" s="5" t="s">
        <v>1434</v>
      </c>
      <c r="E293" s="16">
        <v>1</v>
      </c>
      <c r="F293" s="6" t="s">
        <v>718</v>
      </c>
      <c r="G293" s="10" t="s">
        <v>381</v>
      </c>
      <c r="H293" s="18">
        <v>-1.25</v>
      </c>
      <c r="I293" s="10" t="s">
        <v>382</v>
      </c>
      <c r="J293" s="29" t="s">
        <v>1120</v>
      </c>
      <c r="K293" s="1">
        <f t="shared" si="12"/>
        <v>389</v>
      </c>
      <c r="L293" s="1" t="str">
        <f t="shared" si="13"/>
        <v>185</v>
      </c>
      <c r="M293" s="1" t="str">
        <f t="shared" si="14"/>
        <v>0x00185</v>
      </c>
    </row>
    <row r="294" spans="1:13" ht="60.75" x14ac:dyDescent="0.25">
      <c r="A294" s="16" t="s">
        <v>400</v>
      </c>
      <c r="B294" s="15" t="s">
        <v>10</v>
      </c>
      <c r="C294" s="5">
        <v>391</v>
      </c>
      <c r="D294" s="5" t="s">
        <v>1435</v>
      </c>
      <c r="E294" s="16">
        <v>1</v>
      </c>
      <c r="F294" s="6" t="s">
        <v>969</v>
      </c>
      <c r="G294" s="10" t="s">
        <v>381</v>
      </c>
      <c r="H294" s="18">
        <v>-1.25</v>
      </c>
      <c r="I294" s="10" t="s">
        <v>382</v>
      </c>
      <c r="J294" s="29" t="s">
        <v>1120</v>
      </c>
      <c r="K294" s="1">
        <f t="shared" si="12"/>
        <v>390</v>
      </c>
      <c r="L294" s="1" t="str">
        <f t="shared" si="13"/>
        <v>186</v>
      </c>
      <c r="M294" s="1" t="str">
        <f t="shared" si="14"/>
        <v>0x00186</v>
      </c>
    </row>
    <row r="295" spans="1:13" ht="60.75" x14ac:dyDescent="0.25">
      <c r="A295" s="16" t="s">
        <v>401</v>
      </c>
      <c r="B295" s="15" t="s">
        <v>10</v>
      </c>
      <c r="C295" s="5">
        <v>392</v>
      </c>
      <c r="D295" s="5" t="s">
        <v>1436</v>
      </c>
      <c r="E295" s="16">
        <v>1</v>
      </c>
      <c r="F295" s="6" t="s">
        <v>719</v>
      </c>
      <c r="G295" s="10" t="s">
        <v>381</v>
      </c>
      <c r="H295" s="18">
        <v>-1.25</v>
      </c>
      <c r="I295" s="10" t="s">
        <v>382</v>
      </c>
      <c r="J295" s="29" t="s">
        <v>1120</v>
      </c>
      <c r="K295" s="1">
        <f t="shared" si="12"/>
        <v>391</v>
      </c>
      <c r="L295" s="1" t="str">
        <f t="shared" si="13"/>
        <v>187</v>
      </c>
      <c r="M295" s="1" t="str">
        <f t="shared" si="14"/>
        <v>0x00187</v>
      </c>
    </row>
    <row r="296" spans="1:13" ht="81" x14ac:dyDescent="0.25">
      <c r="A296" s="16" t="s">
        <v>236</v>
      </c>
      <c r="B296" s="15" t="s">
        <v>10</v>
      </c>
      <c r="C296" s="5">
        <v>393</v>
      </c>
      <c r="D296" s="5" t="s">
        <v>1437</v>
      </c>
      <c r="E296" s="16">
        <v>1</v>
      </c>
      <c r="F296" s="6" t="s">
        <v>726</v>
      </c>
      <c r="G296" s="10" t="s">
        <v>237</v>
      </c>
      <c r="H296" s="6">
        <v>0</v>
      </c>
      <c r="I296" s="10" t="s">
        <v>238</v>
      </c>
      <c r="J296" s="32" t="s">
        <v>1102</v>
      </c>
      <c r="K296" s="1">
        <f t="shared" si="12"/>
        <v>392</v>
      </c>
      <c r="L296" s="1" t="str">
        <f t="shared" si="13"/>
        <v>188</v>
      </c>
      <c r="M296" s="1" t="str">
        <f t="shared" si="14"/>
        <v>0x00188</v>
      </c>
    </row>
    <row r="297" spans="1:13" ht="60.75" x14ac:dyDescent="0.25">
      <c r="A297" s="16" t="s">
        <v>402</v>
      </c>
      <c r="B297" s="15" t="s">
        <v>10</v>
      </c>
      <c r="C297" s="5">
        <v>394</v>
      </c>
      <c r="D297" s="5" t="s">
        <v>1438</v>
      </c>
      <c r="E297" s="16">
        <v>1</v>
      </c>
      <c r="F297" s="6" t="s">
        <v>796</v>
      </c>
      <c r="G297" s="10" t="s">
        <v>403</v>
      </c>
      <c r="H297" s="10" t="s">
        <v>190</v>
      </c>
      <c r="I297" s="10" t="s">
        <v>404</v>
      </c>
      <c r="J297" s="29" t="s">
        <v>1121</v>
      </c>
      <c r="K297" s="1">
        <f t="shared" si="12"/>
        <v>393</v>
      </c>
      <c r="L297" s="1" t="str">
        <f t="shared" si="13"/>
        <v>189</v>
      </c>
      <c r="M297" s="1" t="str">
        <f t="shared" si="14"/>
        <v>0x00189</v>
      </c>
    </row>
    <row r="298" spans="1:13" ht="60.75" x14ac:dyDescent="0.25">
      <c r="A298" s="16" t="s">
        <v>405</v>
      </c>
      <c r="B298" s="15" t="s">
        <v>10</v>
      </c>
      <c r="C298" s="5">
        <v>395</v>
      </c>
      <c r="D298" s="5" t="s">
        <v>1439</v>
      </c>
      <c r="E298" s="16">
        <v>1</v>
      </c>
      <c r="F298" s="6" t="s">
        <v>797</v>
      </c>
      <c r="G298" s="10" t="s">
        <v>403</v>
      </c>
      <c r="H298" s="10" t="s">
        <v>190</v>
      </c>
      <c r="I298" s="10" t="s">
        <v>404</v>
      </c>
      <c r="J298" s="29" t="s">
        <v>1121</v>
      </c>
      <c r="K298" s="1">
        <f t="shared" si="12"/>
        <v>394</v>
      </c>
      <c r="L298" s="1" t="str">
        <f t="shared" si="13"/>
        <v>18A</v>
      </c>
      <c r="M298" s="1" t="str">
        <f t="shared" si="14"/>
        <v>0x0018A</v>
      </c>
    </row>
    <row r="299" spans="1:13" ht="60.75" x14ac:dyDescent="0.25">
      <c r="A299" s="16" t="s">
        <v>406</v>
      </c>
      <c r="B299" s="15" t="s">
        <v>10</v>
      </c>
      <c r="C299" s="5">
        <v>396</v>
      </c>
      <c r="D299" s="5" t="s">
        <v>1440</v>
      </c>
      <c r="E299" s="16">
        <v>1</v>
      </c>
      <c r="F299" s="6" t="s">
        <v>798</v>
      </c>
      <c r="G299" s="10" t="s">
        <v>403</v>
      </c>
      <c r="H299" s="10" t="s">
        <v>190</v>
      </c>
      <c r="I299" s="10" t="s">
        <v>404</v>
      </c>
      <c r="J299" s="29" t="s">
        <v>1121</v>
      </c>
      <c r="K299" s="1">
        <f t="shared" si="12"/>
        <v>395</v>
      </c>
      <c r="L299" s="1" t="str">
        <f t="shared" si="13"/>
        <v>18B</v>
      </c>
      <c r="M299" s="1" t="str">
        <f t="shared" si="14"/>
        <v>0x0018B</v>
      </c>
    </row>
    <row r="300" spans="1:13" ht="60.75" x14ac:dyDescent="0.25">
      <c r="A300" s="16" t="s">
        <v>407</v>
      </c>
      <c r="B300" s="15" t="s">
        <v>10</v>
      </c>
      <c r="C300" s="5">
        <v>397</v>
      </c>
      <c r="D300" s="5" t="s">
        <v>1441</v>
      </c>
      <c r="E300" s="16">
        <v>1</v>
      </c>
      <c r="F300" s="6" t="s">
        <v>799</v>
      </c>
      <c r="G300" s="10" t="s">
        <v>403</v>
      </c>
      <c r="H300" s="10" t="s">
        <v>190</v>
      </c>
      <c r="I300" s="10" t="s">
        <v>404</v>
      </c>
      <c r="J300" s="29" t="s">
        <v>1121</v>
      </c>
      <c r="K300" s="1">
        <f t="shared" si="12"/>
        <v>396</v>
      </c>
      <c r="L300" s="1" t="str">
        <f t="shared" si="13"/>
        <v>18C</v>
      </c>
      <c r="M300" s="1" t="str">
        <f t="shared" si="14"/>
        <v>0x0018C</v>
      </c>
    </row>
    <row r="301" spans="1:13" ht="60.75" x14ac:dyDescent="0.25">
      <c r="A301" s="16" t="s">
        <v>408</v>
      </c>
      <c r="B301" s="15" t="s">
        <v>10</v>
      </c>
      <c r="C301" s="5">
        <v>398</v>
      </c>
      <c r="D301" s="5" t="s">
        <v>1442</v>
      </c>
      <c r="E301" s="16">
        <v>1</v>
      </c>
      <c r="F301" s="6" t="s">
        <v>800</v>
      </c>
      <c r="G301" s="10" t="s">
        <v>403</v>
      </c>
      <c r="H301" s="10" t="s">
        <v>190</v>
      </c>
      <c r="I301" s="10" t="s">
        <v>404</v>
      </c>
      <c r="J301" s="29" t="s">
        <v>1121</v>
      </c>
      <c r="K301" s="1">
        <f t="shared" si="12"/>
        <v>397</v>
      </c>
      <c r="L301" s="1" t="str">
        <f t="shared" si="13"/>
        <v>18D</v>
      </c>
      <c r="M301" s="1" t="str">
        <f t="shared" si="14"/>
        <v>0x0018D</v>
      </c>
    </row>
    <row r="302" spans="1:13" ht="60.75" x14ac:dyDescent="0.25">
      <c r="A302" s="16" t="s">
        <v>409</v>
      </c>
      <c r="B302" s="15" t="s">
        <v>10</v>
      </c>
      <c r="C302" s="5">
        <v>399</v>
      </c>
      <c r="D302" s="5" t="s">
        <v>1443</v>
      </c>
      <c r="E302" s="16">
        <v>1</v>
      </c>
      <c r="F302" s="6" t="s">
        <v>801</v>
      </c>
      <c r="G302" s="10" t="s">
        <v>403</v>
      </c>
      <c r="H302" s="10" t="s">
        <v>190</v>
      </c>
      <c r="I302" s="10" t="s">
        <v>404</v>
      </c>
      <c r="J302" s="29" t="s">
        <v>1121</v>
      </c>
      <c r="K302" s="1">
        <f t="shared" si="12"/>
        <v>398</v>
      </c>
      <c r="L302" s="1" t="str">
        <f t="shared" si="13"/>
        <v>18E</v>
      </c>
      <c r="M302" s="1" t="str">
        <f t="shared" si="14"/>
        <v>0x0018E</v>
      </c>
    </row>
    <row r="303" spans="1:13" ht="60.75" x14ac:dyDescent="0.25">
      <c r="A303" s="16" t="s">
        <v>410</v>
      </c>
      <c r="B303" s="15" t="s">
        <v>10</v>
      </c>
      <c r="C303" s="5">
        <v>400</v>
      </c>
      <c r="D303" s="5" t="s">
        <v>1444</v>
      </c>
      <c r="E303" s="16">
        <v>1</v>
      </c>
      <c r="F303" s="6" t="s">
        <v>802</v>
      </c>
      <c r="G303" s="10" t="s">
        <v>403</v>
      </c>
      <c r="H303" s="10" t="s">
        <v>190</v>
      </c>
      <c r="I303" s="10" t="s">
        <v>404</v>
      </c>
      <c r="J303" s="29" t="s">
        <v>1121</v>
      </c>
      <c r="K303" s="1">
        <f t="shared" si="12"/>
        <v>399</v>
      </c>
      <c r="L303" s="1" t="str">
        <f t="shared" si="13"/>
        <v>18F</v>
      </c>
      <c r="M303" s="1" t="str">
        <f t="shared" si="14"/>
        <v>0x0018F</v>
      </c>
    </row>
    <row r="304" spans="1:13" ht="60.75" x14ac:dyDescent="0.25">
      <c r="A304" s="16" t="s">
        <v>411</v>
      </c>
      <c r="B304" s="15" t="s">
        <v>10</v>
      </c>
      <c r="C304" s="5">
        <v>401</v>
      </c>
      <c r="D304" s="5" t="s">
        <v>1445</v>
      </c>
      <c r="E304" s="16">
        <v>1</v>
      </c>
      <c r="F304" s="6" t="s">
        <v>803</v>
      </c>
      <c r="G304" s="10" t="s">
        <v>403</v>
      </c>
      <c r="H304" s="10" t="s">
        <v>190</v>
      </c>
      <c r="I304" s="10" t="s">
        <v>404</v>
      </c>
      <c r="J304" s="29" t="s">
        <v>1121</v>
      </c>
      <c r="K304" s="1">
        <f t="shared" si="12"/>
        <v>400</v>
      </c>
      <c r="L304" s="1" t="str">
        <f t="shared" si="13"/>
        <v>190</v>
      </c>
      <c r="M304" s="1" t="str">
        <f t="shared" si="14"/>
        <v>0x00190</v>
      </c>
    </row>
    <row r="305" spans="1:13" ht="60.75" x14ac:dyDescent="0.25">
      <c r="A305" s="16" t="s">
        <v>412</v>
      </c>
      <c r="B305" s="15" t="s">
        <v>10</v>
      </c>
      <c r="C305" s="5">
        <v>402</v>
      </c>
      <c r="D305" s="5" t="s">
        <v>1446</v>
      </c>
      <c r="E305" s="16">
        <v>1</v>
      </c>
      <c r="F305" s="6" t="s">
        <v>804</v>
      </c>
      <c r="G305" s="10" t="s">
        <v>403</v>
      </c>
      <c r="H305" s="10" t="s">
        <v>190</v>
      </c>
      <c r="I305" s="10" t="s">
        <v>404</v>
      </c>
      <c r="J305" s="29" t="s">
        <v>1121</v>
      </c>
      <c r="K305" s="1">
        <f t="shared" si="12"/>
        <v>401</v>
      </c>
      <c r="L305" s="1" t="str">
        <f t="shared" si="13"/>
        <v>191</v>
      </c>
      <c r="M305" s="1" t="str">
        <f t="shared" si="14"/>
        <v>0x00191</v>
      </c>
    </row>
    <row r="306" spans="1:13" ht="60.75" x14ac:dyDescent="0.25">
      <c r="A306" s="16" t="s">
        <v>413</v>
      </c>
      <c r="B306" s="15" t="s">
        <v>10</v>
      </c>
      <c r="C306" s="5">
        <v>403</v>
      </c>
      <c r="D306" s="5" t="s">
        <v>1447</v>
      </c>
      <c r="E306" s="16">
        <v>1</v>
      </c>
      <c r="F306" s="6" t="s">
        <v>805</v>
      </c>
      <c r="G306" s="10" t="s">
        <v>403</v>
      </c>
      <c r="H306" s="10" t="s">
        <v>190</v>
      </c>
      <c r="I306" s="10" t="s">
        <v>404</v>
      </c>
      <c r="J306" s="29" t="s">
        <v>1121</v>
      </c>
      <c r="K306" s="1">
        <f t="shared" si="12"/>
        <v>402</v>
      </c>
      <c r="L306" s="1" t="str">
        <f t="shared" si="13"/>
        <v>192</v>
      </c>
      <c r="M306" s="1" t="str">
        <f t="shared" si="14"/>
        <v>0x00192</v>
      </c>
    </row>
    <row r="307" spans="1:13" ht="60.75" x14ac:dyDescent="0.25">
      <c r="A307" s="16" t="s">
        <v>414</v>
      </c>
      <c r="B307" s="15" t="s">
        <v>10</v>
      </c>
      <c r="C307" s="5">
        <v>404</v>
      </c>
      <c r="D307" s="5" t="s">
        <v>1448</v>
      </c>
      <c r="E307" s="16">
        <v>1</v>
      </c>
      <c r="F307" s="6" t="s">
        <v>806</v>
      </c>
      <c r="G307" s="10" t="s">
        <v>403</v>
      </c>
      <c r="H307" s="10" t="s">
        <v>190</v>
      </c>
      <c r="I307" s="10" t="s">
        <v>404</v>
      </c>
      <c r="J307" s="29" t="s">
        <v>1121</v>
      </c>
      <c r="K307" s="1">
        <f t="shared" si="12"/>
        <v>403</v>
      </c>
      <c r="L307" s="1" t="str">
        <f t="shared" si="13"/>
        <v>193</v>
      </c>
      <c r="M307" s="1" t="str">
        <f t="shared" si="14"/>
        <v>0x00193</v>
      </c>
    </row>
    <row r="308" spans="1:13" ht="60.75" x14ac:dyDescent="0.25">
      <c r="A308" s="16" t="s">
        <v>415</v>
      </c>
      <c r="B308" s="15" t="s">
        <v>10</v>
      </c>
      <c r="C308" s="5">
        <v>405</v>
      </c>
      <c r="D308" s="5" t="s">
        <v>1449</v>
      </c>
      <c r="E308" s="16">
        <v>1</v>
      </c>
      <c r="F308" s="6" t="s">
        <v>807</v>
      </c>
      <c r="G308" s="10" t="s">
        <v>403</v>
      </c>
      <c r="H308" s="10" t="s">
        <v>190</v>
      </c>
      <c r="I308" s="10" t="s">
        <v>404</v>
      </c>
      <c r="J308" s="29" t="s">
        <v>1121</v>
      </c>
      <c r="K308" s="1">
        <f t="shared" si="12"/>
        <v>404</v>
      </c>
      <c r="L308" s="1" t="str">
        <f t="shared" si="13"/>
        <v>194</v>
      </c>
      <c r="M308" s="1" t="str">
        <f t="shared" si="14"/>
        <v>0x00194</v>
      </c>
    </row>
    <row r="309" spans="1:13" ht="60.75" x14ac:dyDescent="0.25">
      <c r="A309" s="16" t="s">
        <v>416</v>
      </c>
      <c r="B309" s="15" t="s">
        <v>10</v>
      </c>
      <c r="C309" s="5">
        <v>406</v>
      </c>
      <c r="D309" s="5" t="s">
        <v>1450</v>
      </c>
      <c r="E309" s="16">
        <v>1</v>
      </c>
      <c r="F309" s="6" t="s">
        <v>808</v>
      </c>
      <c r="G309" s="10" t="s">
        <v>403</v>
      </c>
      <c r="H309" s="10" t="s">
        <v>190</v>
      </c>
      <c r="I309" s="10" t="s">
        <v>404</v>
      </c>
      <c r="J309" s="29" t="s">
        <v>1121</v>
      </c>
      <c r="K309" s="1">
        <f t="shared" si="12"/>
        <v>405</v>
      </c>
      <c r="L309" s="1" t="str">
        <f t="shared" si="13"/>
        <v>195</v>
      </c>
      <c r="M309" s="1" t="str">
        <f t="shared" si="14"/>
        <v>0x00195</v>
      </c>
    </row>
    <row r="310" spans="1:13" ht="60.75" x14ac:dyDescent="0.25">
      <c r="A310" s="16" t="s">
        <v>417</v>
      </c>
      <c r="B310" s="15" t="s">
        <v>10</v>
      </c>
      <c r="C310" s="5">
        <v>407</v>
      </c>
      <c r="D310" s="5" t="s">
        <v>1451</v>
      </c>
      <c r="E310" s="16">
        <v>1</v>
      </c>
      <c r="F310" s="6" t="s">
        <v>809</v>
      </c>
      <c r="G310" s="10" t="s">
        <v>403</v>
      </c>
      <c r="H310" s="10" t="s">
        <v>190</v>
      </c>
      <c r="I310" s="10" t="s">
        <v>404</v>
      </c>
      <c r="J310" s="29" t="s">
        <v>1121</v>
      </c>
      <c r="K310" s="1">
        <f t="shared" si="12"/>
        <v>406</v>
      </c>
      <c r="L310" s="1" t="str">
        <f t="shared" si="13"/>
        <v>196</v>
      </c>
      <c r="M310" s="1" t="str">
        <f t="shared" si="14"/>
        <v>0x00196</v>
      </c>
    </row>
    <row r="311" spans="1:13" ht="60.75" x14ac:dyDescent="0.25">
      <c r="A311" s="16" t="s">
        <v>418</v>
      </c>
      <c r="B311" s="15" t="s">
        <v>10</v>
      </c>
      <c r="C311" s="5">
        <v>408</v>
      </c>
      <c r="D311" s="5" t="s">
        <v>1452</v>
      </c>
      <c r="E311" s="16">
        <v>1</v>
      </c>
      <c r="F311" s="6" t="s">
        <v>810</v>
      </c>
      <c r="G311" s="10" t="s">
        <v>403</v>
      </c>
      <c r="H311" s="10" t="s">
        <v>190</v>
      </c>
      <c r="I311" s="10" t="s">
        <v>404</v>
      </c>
      <c r="J311" s="29" t="s">
        <v>1121</v>
      </c>
      <c r="K311" s="1">
        <f t="shared" si="12"/>
        <v>407</v>
      </c>
      <c r="L311" s="1" t="str">
        <f t="shared" si="13"/>
        <v>197</v>
      </c>
      <c r="M311" s="1" t="str">
        <f t="shared" si="14"/>
        <v>0x00197</v>
      </c>
    </row>
    <row r="312" spans="1:13" ht="60.75" x14ac:dyDescent="0.25">
      <c r="A312" s="16" t="s">
        <v>419</v>
      </c>
      <c r="B312" s="15" t="s">
        <v>10</v>
      </c>
      <c r="C312" s="5">
        <v>409</v>
      </c>
      <c r="D312" s="5" t="s">
        <v>1453</v>
      </c>
      <c r="E312" s="16">
        <v>1</v>
      </c>
      <c r="F312" s="6" t="s">
        <v>811</v>
      </c>
      <c r="G312" s="10" t="s">
        <v>403</v>
      </c>
      <c r="H312" s="10" t="s">
        <v>190</v>
      </c>
      <c r="I312" s="10" t="s">
        <v>404</v>
      </c>
      <c r="J312" s="29" t="s">
        <v>1121</v>
      </c>
      <c r="K312" s="1">
        <f t="shared" si="12"/>
        <v>408</v>
      </c>
      <c r="L312" s="1" t="str">
        <f t="shared" si="13"/>
        <v>198</v>
      </c>
      <c r="M312" s="1" t="str">
        <f t="shared" si="14"/>
        <v>0x00198</v>
      </c>
    </row>
    <row r="313" spans="1:13" ht="60.75" x14ac:dyDescent="0.25">
      <c r="A313" s="16" t="s">
        <v>420</v>
      </c>
      <c r="B313" s="15" t="s">
        <v>10</v>
      </c>
      <c r="C313" s="5">
        <v>410</v>
      </c>
      <c r="D313" s="5" t="s">
        <v>1454</v>
      </c>
      <c r="E313" s="16">
        <v>1</v>
      </c>
      <c r="F313" s="6" t="s">
        <v>812</v>
      </c>
      <c r="G313" s="10" t="s">
        <v>403</v>
      </c>
      <c r="H313" s="10" t="s">
        <v>190</v>
      </c>
      <c r="I313" s="10" t="s">
        <v>404</v>
      </c>
      <c r="J313" s="29" t="s">
        <v>1121</v>
      </c>
      <c r="K313" s="1">
        <f t="shared" si="12"/>
        <v>409</v>
      </c>
      <c r="L313" s="1" t="str">
        <f t="shared" si="13"/>
        <v>199</v>
      </c>
      <c r="M313" s="1" t="str">
        <f t="shared" si="14"/>
        <v>0x00199</v>
      </c>
    </row>
    <row r="314" spans="1:13" ht="60.75" x14ac:dyDescent="0.25">
      <c r="A314" s="16" t="s">
        <v>421</v>
      </c>
      <c r="B314" s="15" t="s">
        <v>10</v>
      </c>
      <c r="C314" s="5">
        <v>411</v>
      </c>
      <c r="D314" s="5" t="s">
        <v>1455</v>
      </c>
      <c r="E314" s="16">
        <v>1</v>
      </c>
      <c r="F314" s="6" t="s">
        <v>813</v>
      </c>
      <c r="G314" s="10" t="s">
        <v>403</v>
      </c>
      <c r="H314" s="10" t="s">
        <v>190</v>
      </c>
      <c r="I314" s="10" t="s">
        <v>404</v>
      </c>
      <c r="J314" s="29" t="s">
        <v>1121</v>
      </c>
      <c r="K314" s="1">
        <f t="shared" si="12"/>
        <v>410</v>
      </c>
      <c r="L314" s="1" t="str">
        <f t="shared" si="13"/>
        <v>19A</v>
      </c>
      <c r="M314" s="1" t="str">
        <f t="shared" si="14"/>
        <v>0x0019A</v>
      </c>
    </row>
    <row r="315" spans="1:13" ht="60.75" x14ac:dyDescent="0.25">
      <c r="A315" s="16" t="s">
        <v>422</v>
      </c>
      <c r="B315" s="15" t="s">
        <v>10</v>
      </c>
      <c r="C315" s="5">
        <v>412</v>
      </c>
      <c r="D315" s="5" t="s">
        <v>1456</v>
      </c>
      <c r="E315" s="16">
        <v>1</v>
      </c>
      <c r="F315" s="6" t="s">
        <v>814</v>
      </c>
      <c r="G315" s="10" t="s">
        <v>403</v>
      </c>
      <c r="H315" s="10" t="s">
        <v>190</v>
      </c>
      <c r="I315" s="10" t="s">
        <v>404</v>
      </c>
      <c r="J315" s="29" t="s">
        <v>1121</v>
      </c>
      <c r="K315" s="1">
        <f t="shared" si="12"/>
        <v>411</v>
      </c>
      <c r="L315" s="1" t="str">
        <f t="shared" si="13"/>
        <v>19B</v>
      </c>
      <c r="M315" s="1" t="str">
        <f t="shared" si="14"/>
        <v>0x0019B</v>
      </c>
    </row>
    <row r="316" spans="1:13" ht="60.75" x14ac:dyDescent="0.25">
      <c r="A316" s="16" t="s">
        <v>423</v>
      </c>
      <c r="B316" s="15" t="s">
        <v>10</v>
      </c>
      <c r="C316" s="5">
        <v>413</v>
      </c>
      <c r="D316" s="5" t="s">
        <v>1457</v>
      </c>
      <c r="E316" s="16">
        <v>1</v>
      </c>
      <c r="F316" s="6" t="s">
        <v>815</v>
      </c>
      <c r="G316" s="10" t="s">
        <v>403</v>
      </c>
      <c r="H316" s="10" t="s">
        <v>190</v>
      </c>
      <c r="I316" s="10" t="s">
        <v>404</v>
      </c>
      <c r="J316" s="29" t="s">
        <v>1121</v>
      </c>
      <c r="K316" s="1">
        <f t="shared" si="12"/>
        <v>412</v>
      </c>
      <c r="L316" s="1" t="str">
        <f t="shared" si="13"/>
        <v>19C</v>
      </c>
      <c r="M316" s="1" t="str">
        <f t="shared" si="14"/>
        <v>0x0019C</v>
      </c>
    </row>
    <row r="317" spans="1:13" x14ac:dyDescent="0.25">
      <c r="A317" s="16" t="s">
        <v>424</v>
      </c>
      <c r="B317" s="15" t="s">
        <v>10</v>
      </c>
      <c r="C317" s="5">
        <v>414</v>
      </c>
      <c r="D317" s="5" t="s">
        <v>1458</v>
      </c>
      <c r="E317" s="16">
        <v>1</v>
      </c>
      <c r="F317" s="6" t="s">
        <v>715</v>
      </c>
      <c r="G317" s="10" t="s">
        <v>237</v>
      </c>
      <c r="H317" s="6">
        <v>0</v>
      </c>
      <c r="I317" s="10" t="s">
        <v>238</v>
      </c>
      <c r="J317" s="29" t="s">
        <v>1102</v>
      </c>
      <c r="K317" s="1">
        <f t="shared" si="12"/>
        <v>413</v>
      </c>
      <c r="L317" s="1" t="str">
        <f t="shared" si="13"/>
        <v>19D</v>
      </c>
      <c r="M317" s="1" t="str">
        <f t="shared" si="14"/>
        <v>0x0019D</v>
      </c>
    </row>
    <row r="318" spans="1:13" ht="81" x14ac:dyDescent="0.25">
      <c r="A318" s="16" t="s">
        <v>425</v>
      </c>
      <c r="B318" s="15" t="s">
        <v>10</v>
      </c>
      <c r="C318" s="5">
        <v>415</v>
      </c>
      <c r="D318" s="5" t="s">
        <v>1459</v>
      </c>
      <c r="E318" s="16">
        <v>1</v>
      </c>
      <c r="F318" s="6" t="s">
        <v>891</v>
      </c>
      <c r="G318" s="6" t="s">
        <v>426</v>
      </c>
      <c r="H318" s="6">
        <v>0</v>
      </c>
      <c r="I318" s="6" t="s">
        <v>427</v>
      </c>
      <c r="J318" s="29" t="s">
        <v>1122</v>
      </c>
      <c r="K318" s="1">
        <f t="shared" si="12"/>
        <v>414</v>
      </c>
      <c r="L318" s="1" t="str">
        <f t="shared" si="13"/>
        <v>19E</v>
      </c>
      <c r="M318" s="1" t="str">
        <f t="shared" si="14"/>
        <v>0x0019E</v>
      </c>
    </row>
    <row r="319" spans="1:13" ht="40.5" x14ac:dyDescent="0.25">
      <c r="A319" s="16" t="s">
        <v>1039</v>
      </c>
      <c r="B319" s="15" t="s">
        <v>10</v>
      </c>
      <c r="C319" s="5">
        <v>416</v>
      </c>
      <c r="D319" s="5" t="s">
        <v>1460</v>
      </c>
      <c r="E319" s="16">
        <v>1</v>
      </c>
      <c r="F319" s="6" t="s">
        <v>673</v>
      </c>
      <c r="G319" s="10" t="s">
        <v>237</v>
      </c>
      <c r="H319" s="6">
        <v>0</v>
      </c>
      <c r="I319" s="10" t="s">
        <v>238</v>
      </c>
      <c r="J319" s="29" t="s">
        <v>1102</v>
      </c>
      <c r="K319" s="1">
        <f t="shared" si="12"/>
        <v>415</v>
      </c>
      <c r="L319" s="1" t="str">
        <f t="shared" si="13"/>
        <v>19F</v>
      </c>
      <c r="M319" s="1" t="str">
        <f t="shared" si="14"/>
        <v>0x0019F</v>
      </c>
    </row>
    <row r="320" spans="1:13" ht="40.5" x14ac:dyDescent="0.25">
      <c r="A320" s="16" t="s">
        <v>1040</v>
      </c>
      <c r="B320" s="15" t="s">
        <v>10</v>
      </c>
      <c r="C320" s="5">
        <v>417</v>
      </c>
      <c r="D320" s="5" t="s">
        <v>1461</v>
      </c>
      <c r="E320" s="16">
        <v>1</v>
      </c>
      <c r="F320" s="6" t="s">
        <v>674</v>
      </c>
      <c r="G320" s="10" t="s">
        <v>237</v>
      </c>
      <c r="H320" s="6">
        <v>0</v>
      </c>
      <c r="I320" s="10" t="s">
        <v>238</v>
      </c>
      <c r="J320" s="29" t="s">
        <v>1102</v>
      </c>
      <c r="K320" s="1">
        <f t="shared" si="12"/>
        <v>416</v>
      </c>
      <c r="L320" s="1" t="str">
        <f t="shared" si="13"/>
        <v>1A0</v>
      </c>
      <c r="M320" s="1" t="str">
        <f t="shared" si="14"/>
        <v>0x001A0</v>
      </c>
    </row>
    <row r="321" spans="1:13" ht="40.5" x14ac:dyDescent="0.25">
      <c r="A321" s="16" t="s">
        <v>1041</v>
      </c>
      <c r="B321" s="15" t="s">
        <v>10</v>
      </c>
      <c r="C321" s="5">
        <v>418</v>
      </c>
      <c r="D321" s="5" t="s">
        <v>1462</v>
      </c>
      <c r="E321" s="16">
        <v>1</v>
      </c>
      <c r="F321" s="6" t="s">
        <v>675</v>
      </c>
      <c r="G321" s="10" t="s">
        <v>237</v>
      </c>
      <c r="H321" s="6">
        <v>0</v>
      </c>
      <c r="I321" s="10" t="s">
        <v>238</v>
      </c>
      <c r="J321" s="29" t="s">
        <v>1102</v>
      </c>
      <c r="K321" s="1">
        <f t="shared" si="12"/>
        <v>417</v>
      </c>
      <c r="L321" s="1" t="str">
        <f t="shared" si="13"/>
        <v>1A1</v>
      </c>
      <c r="M321" s="1" t="str">
        <f t="shared" si="14"/>
        <v>0x001A1</v>
      </c>
    </row>
    <row r="322" spans="1:13" ht="40.5" x14ac:dyDescent="0.25">
      <c r="A322" s="16" t="s">
        <v>1042</v>
      </c>
      <c r="B322" s="15" t="s">
        <v>10</v>
      </c>
      <c r="C322" s="5">
        <v>419</v>
      </c>
      <c r="D322" s="5" t="s">
        <v>1463</v>
      </c>
      <c r="E322" s="16">
        <v>1</v>
      </c>
      <c r="F322" s="6" t="s">
        <v>676</v>
      </c>
      <c r="G322" s="10" t="s">
        <v>237</v>
      </c>
      <c r="H322" s="6">
        <v>0</v>
      </c>
      <c r="I322" s="10" t="s">
        <v>238</v>
      </c>
      <c r="J322" s="29" t="s">
        <v>1102</v>
      </c>
      <c r="K322" s="1">
        <f t="shared" si="12"/>
        <v>418</v>
      </c>
      <c r="L322" s="1" t="str">
        <f t="shared" si="13"/>
        <v>1A2</v>
      </c>
      <c r="M322" s="1" t="str">
        <f t="shared" si="14"/>
        <v>0x001A2</v>
      </c>
    </row>
    <row r="323" spans="1:13" ht="40.5" x14ac:dyDescent="0.25">
      <c r="A323" s="16" t="s">
        <v>1043</v>
      </c>
      <c r="B323" s="15" t="s">
        <v>10</v>
      </c>
      <c r="C323" s="5">
        <v>420</v>
      </c>
      <c r="D323" s="5" t="s">
        <v>1464</v>
      </c>
      <c r="E323" s="16">
        <v>1</v>
      </c>
      <c r="F323" s="6" t="s">
        <v>677</v>
      </c>
      <c r="G323" s="10" t="s">
        <v>237</v>
      </c>
      <c r="H323" s="6">
        <v>0</v>
      </c>
      <c r="I323" s="10" t="s">
        <v>238</v>
      </c>
      <c r="J323" s="29" t="s">
        <v>1102</v>
      </c>
      <c r="K323" s="1">
        <f t="shared" si="12"/>
        <v>419</v>
      </c>
      <c r="L323" s="1" t="str">
        <f t="shared" si="13"/>
        <v>1A3</v>
      </c>
      <c r="M323" s="1" t="str">
        <f t="shared" si="14"/>
        <v>0x001A3</v>
      </c>
    </row>
    <row r="324" spans="1:13" ht="40.5" x14ac:dyDescent="0.25">
      <c r="A324" s="16" t="s">
        <v>1044</v>
      </c>
      <c r="B324" s="15" t="s">
        <v>10</v>
      </c>
      <c r="C324" s="5">
        <v>421</v>
      </c>
      <c r="D324" s="5" t="s">
        <v>1465</v>
      </c>
      <c r="E324" s="16">
        <v>1</v>
      </c>
      <c r="F324" s="6" t="s">
        <v>678</v>
      </c>
      <c r="G324" s="10" t="s">
        <v>237</v>
      </c>
      <c r="H324" s="6">
        <v>0</v>
      </c>
      <c r="I324" s="10" t="s">
        <v>238</v>
      </c>
      <c r="J324" s="29" t="s">
        <v>1102</v>
      </c>
      <c r="K324" s="1">
        <f t="shared" si="12"/>
        <v>420</v>
      </c>
      <c r="L324" s="1" t="str">
        <f t="shared" si="13"/>
        <v>1A4</v>
      </c>
      <c r="M324" s="1" t="str">
        <f t="shared" si="14"/>
        <v>0x001A4</v>
      </c>
    </row>
    <row r="325" spans="1:13" ht="40.5" x14ac:dyDescent="0.25">
      <c r="A325" s="16" t="s">
        <v>1045</v>
      </c>
      <c r="B325" s="15" t="s">
        <v>10</v>
      </c>
      <c r="C325" s="5">
        <v>422</v>
      </c>
      <c r="D325" s="5" t="s">
        <v>1466</v>
      </c>
      <c r="E325" s="16">
        <v>1</v>
      </c>
      <c r="F325" s="6" t="s">
        <v>679</v>
      </c>
      <c r="G325" s="10" t="s">
        <v>237</v>
      </c>
      <c r="H325" s="6">
        <v>0</v>
      </c>
      <c r="I325" s="10" t="s">
        <v>238</v>
      </c>
      <c r="J325" s="29" t="s">
        <v>1102</v>
      </c>
      <c r="K325" s="1">
        <f t="shared" si="12"/>
        <v>421</v>
      </c>
      <c r="L325" s="1" t="str">
        <f t="shared" si="13"/>
        <v>1A5</v>
      </c>
      <c r="M325" s="1" t="str">
        <f t="shared" si="14"/>
        <v>0x001A5</v>
      </c>
    </row>
    <row r="326" spans="1:13" ht="40.5" x14ac:dyDescent="0.25">
      <c r="A326" s="16" t="s">
        <v>1046</v>
      </c>
      <c r="B326" s="15" t="s">
        <v>10</v>
      </c>
      <c r="C326" s="5">
        <v>423</v>
      </c>
      <c r="D326" s="5" t="s">
        <v>1467</v>
      </c>
      <c r="E326" s="16">
        <v>1</v>
      </c>
      <c r="F326" s="6" t="s">
        <v>680</v>
      </c>
      <c r="G326" s="10" t="s">
        <v>237</v>
      </c>
      <c r="H326" s="6">
        <v>0</v>
      </c>
      <c r="I326" s="10" t="s">
        <v>238</v>
      </c>
      <c r="J326" s="29" t="s">
        <v>1102</v>
      </c>
      <c r="K326" s="1">
        <f t="shared" si="12"/>
        <v>422</v>
      </c>
      <c r="L326" s="1" t="str">
        <f t="shared" si="13"/>
        <v>1A6</v>
      </c>
      <c r="M326" s="1" t="str">
        <f t="shared" si="14"/>
        <v>0x001A6</v>
      </c>
    </row>
    <row r="327" spans="1:13" ht="40.5" x14ac:dyDescent="0.25">
      <c r="A327" s="16" t="s">
        <v>1047</v>
      </c>
      <c r="B327" s="15" t="s">
        <v>10</v>
      </c>
      <c r="C327" s="5">
        <v>424</v>
      </c>
      <c r="D327" s="5" t="s">
        <v>1468</v>
      </c>
      <c r="E327" s="16">
        <v>1</v>
      </c>
      <c r="F327" s="6" t="s">
        <v>681</v>
      </c>
      <c r="G327" s="10" t="s">
        <v>237</v>
      </c>
      <c r="H327" s="6">
        <v>0</v>
      </c>
      <c r="I327" s="10" t="s">
        <v>238</v>
      </c>
      <c r="J327" s="29" t="s">
        <v>1102</v>
      </c>
      <c r="K327" s="1">
        <f t="shared" ref="K327:K390" si="15">C327-1</f>
        <v>423</v>
      </c>
      <c r="L327" s="1" t="str">
        <f t="shared" ref="L327:L390" si="16">DEC2HEX(K327)</f>
        <v>1A7</v>
      </c>
      <c r="M327" s="1" t="str">
        <f t="shared" ref="M327:M390" si="17">_xlfn.CONCAT("0x00", L327)</f>
        <v>0x001A7</v>
      </c>
    </row>
    <row r="328" spans="1:13" ht="40.5" x14ac:dyDescent="0.25">
      <c r="A328" s="16" t="s">
        <v>1048</v>
      </c>
      <c r="B328" s="15" t="s">
        <v>10</v>
      </c>
      <c r="C328" s="5">
        <v>425</v>
      </c>
      <c r="D328" s="5" t="s">
        <v>1469</v>
      </c>
      <c r="E328" s="16">
        <v>1</v>
      </c>
      <c r="F328" s="6" t="s">
        <v>682</v>
      </c>
      <c r="G328" s="10" t="s">
        <v>237</v>
      </c>
      <c r="H328" s="6">
        <v>0</v>
      </c>
      <c r="I328" s="10" t="s">
        <v>238</v>
      </c>
      <c r="J328" s="29" t="s">
        <v>1102</v>
      </c>
      <c r="K328" s="1">
        <f t="shared" si="15"/>
        <v>424</v>
      </c>
      <c r="L328" s="1" t="str">
        <f t="shared" si="16"/>
        <v>1A8</v>
      </c>
      <c r="M328" s="1" t="str">
        <f t="shared" si="17"/>
        <v>0x001A8</v>
      </c>
    </row>
    <row r="329" spans="1:13" ht="40.5" x14ac:dyDescent="0.25">
      <c r="A329" s="16" t="s">
        <v>1049</v>
      </c>
      <c r="B329" s="15" t="s">
        <v>10</v>
      </c>
      <c r="C329" s="5">
        <v>426</v>
      </c>
      <c r="D329" s="5" t="s">
        <v>1470</v>
      </c>
      <c r="E329" s="16">
        <v>1</v>
      </c>
      <c r="F329" s="6" t="s">
        <v>683</v>
      </c>
      <c r="G329" s="10" t="s">
        <v>237</v>
      </c>
      <c r="H329" s="6">
        <v>0</v>
      </c>
      <c r="I329" s="10" t="s">
        <v>238</v>
      </c>
      <c r="J329" s="29" t="s">
        <v>1102</v>
      </c>
      <c r="K329" s="1">
        <f t="shared" si="15"/>
        <v>425</v>
      </c>
      <c r="L329" s="1" t="str">
        <f t="shared" si="16"/>
        <v>1A9</v>
      </c>
      <c r="M329" s="1" t="str">
        <f t="shared" si="17"/>
        <v>0x001A9</v>
      </c>
    </row>
    <row r="330" spans="1:13" ht="40.5" x14ac:dyDescent="0.25">
      <c r="A330" s="16" t="s">
        <v>1050</v>
      </c>
      <c r="B330" s="15" t="s">
        <v>10</v>
      </c>
      <c r="C330" s="5">
        <v>427</v>
      </c>
      <c r="D330" s="5" t="s">
        <v>1471</v>
      </c>
      <c r="E330" s="16">
        <v>1</v>
      </c>
      <c r="F330" s="6" t="s">
        <v>684</v>
      </c>
      <c r="G330" s="10" t="s">
        <v>237</v>
      </c>
      <c r="H330" s="6">
        <v>0</v>
      </c>
      <c r="I330" s="10" t="s">
        <v>238</v>
      </c>
      <c r="J330" s="29" t="s">
        <v>1102</v>
      </c>
      <c r="K330" s="1">
        <f t="shared" si="15"/>
        <v>426</v>
      </c>
      <c r="L330" s="1" t="str">
        <f t="shared" si="16"/>
        <v>1AA</v>
      </c>
      <c r="M330" s="1" t="str">
        <f t="shared" si="17"/>
        <v>0x001AA</v>
      </c>
    </row>
    <row r="331" spans="1:13" ht="40.5" x14ac:dyDescent="0.25">
      <c r="A331" s="16" t="s">
        <v>1051</v>
      </c>
      <c r="B331" s="15" t="s">
        <v>10</v>
      </c>
      <c r="C331" s="5">
        <v>428</v>
      </c>
      <c r="D331" s="5" t="s">
        <v>1472</v>
      </c>
      <c r="E331" s="16">
        <v>1</v>
      </c>
      <c r="F331" s="6" t="s">
        <v>685</v>
      </c>
      <c r="G331" s="10" t="s">
        <v>237</v>
      </c>
      <c r="H331" s="6">
        <v>0</v>
      </c>
      <c r="I331" s="10" t="s">
        <v>238</v>
      </c>
      <c r="J331" s="29" t="s">
        <v>1102</v>
      </c>
      <c r="K331" s="1">
        <f t="shared" si="15"/>
        <v>427</v>
      </c>
      <c r="L331" s="1" t="str">
        <f t="shared" si="16"/>
        <v>1AB</v>
      </c>
      <c r="M331" s="1" t="str">
        <f t="shared" si="17"/>
        <v>0x001AB</v>
      </c>
    </row>
    <row r="332" spans="1:13" ht="40.5" x14ac:dyDescent="0.25">
      <c r="A332" s="16" t="s">
        <v>1052</v>
      </c>
      <c r="B332" s="15" t="s">
        <v>10</v>
      </c>
      <c r="C332" s="5">
        <v>429</v>
      </c>
      <c r="D332" s="5" t="s">
        <v>1473</v>
      </c>
      <c r="E332" s="16">
        <v>1</v>
      </c>
      <c r="F332" s="6" t="s">
        <v>686</v>
      </c>
      <c r="G332" s="10" t="s">
        <v>237</v>
      </c>
      <c r="H332" s="6">
        <v>0</v>
      </c>
      <c r="I332" s="10" t="s">
        <v>238</v>
      </c>
      <c r="J332" s="29" t="s">
        <v>1102</v>
      </c>
      <c r="K332" s="1">
        <f t="shared" si="15"/>
        <v>428</v>
      </c>
      <c r="L332" s="1" t="str">
        <f t="shared" si="16"/>
        <v>1AC</v>
      </c>
      <c r="M332" s="1" t="str">
        <f t="shared" si="17"/>
        <v>0x001AC</v>
      </c>
    </row>
    <row r="333" spans="1:13" ht="40.5" x14ac:dyDescent="0.25">
      <c r="A333" s="16" t="s">
        <v>1053</v>
      </c>
      <c r="B333" s="15" t="s">
        <v>10</v>
      </c>
      <c r="C333" s="5">
        <v>430</v>
      </c>
      <c r="D333" s="5" t="s">
        <v>1474</v>
      </c>
      <c r="E333" s="16">
        <v>1</v>
      </c>
      <c r="F333" s="6" t="s">
        <v>687</v>
      </c>
      <c r="G333" s="10" t="s">
        <v>237</v>
      </c>
      <c r="H333" s="6">
        <v>0</v>
      </c>
      <c r="I333" s="10" t="s">
        <v>238</v>
      </c>
      <c r="J333" s="29" t="s">
        <v>1102</v>
      </c>
      <c r="K333" s="1">
        <f t="shared" si="15"/>
        <v>429</v>
      </c>
      <c r="L333" s="1" t="str">
        <f t="shared" si="16"/>
        <v>1AD</v>
      </c>
      <c r="M333" s="1" t="str">
        <f t="shared" si="17"/>
        <v>0x001AD</v>
      </c>
    </row>
    <row r="334" spans="1:13" ht="40.5" x14ac:dyDescent="0.25">
      <c r="A334" s="16" t="s">
        <v>1054</v>
      </c>
      <c r="B334" s="15" t="s">
        <v>10</v>
      </c>
      <c r="C334" s="5">
        <v>431</v>
      </c>
      <c r="D334" s="5" t="s">
        <v>1475</v>
      </c>
      <c r="E334" s="16">
        <v>1</v>
      </c>
      <c r="F334" s="6" t="s">
        <v>688</v>
      </c>
      <c r="G334" s="10" t="s">
        <v>237</v>
      </c>
      <c r="H334" s="6">
        <v>0</v>
      </c>
      <c r="I334" s="10" t="s">
        <v>238</v>
      </c>
      <c r="J334" s="29" t="s">
        <v>1102</v>
      </c>
      <c r="K334" s="1">
        <f t="shared" si="15"/>
        <v>430</v>
      </c>
      <c r="L334" s="1" t="str">
        <f t="shared" si="16"/>
        <v>1AE</v>
      </c>
      <c r="M334" s="1" t="str">
        <f t="shared" si="17"/>
        <v>0x001AE</v>
      </c>
    </row>
    <row r="335" spans="1:13" ht="40.5" x14ac:dyDescent="0.25">
      <c r="A335" s="16" t="s">
        <v>1055</v>
      </c>
      <c r="B335" s="15" t="s">
        <v>10</v>
      </c>
      <c r="C335" s="5">
        <v>432</v>
      </c>
      <c r="D335" s="5" t="s">
        <v>1476</v>
      </c>
      <c r="E335" s="16">
        <v>1</v>
      </c>
      <c r="F335" s="6" t="s">
        <v>689</v>
      </c>
      <c r="G335" s="10" t="s">
        <v>237</v>
      </c>
      <c r="H335" s="6">
        <v>0</v>
      </c>
      <c r="I335" s="10" t="s">
        <v>238</v>
      </c>
      <c r="J335" s="29" t="s">
        <v>1102</v>
      </c>
      <c r="K335" s="1">
        <f t="shared" si="15"/>
        <v>431</v>
      </c>
      <c r="L335" s="1" t="str">
        <f t="shared" si="16"/>
        <v>1AF</v>
      </c>
      <c r="M335" s="1" t="str">
        <f t="shared" si="17"/>
        <v>0x001AF</v>
      </c>
    </row>
    <row r="336" spans="1:13" ht="40.5" x14ac:dyDescent="0.25">
      <c r="A336" s="16" t="s">
        <v>1056</v>
      </c>
      <c r="B336" s="15" t="s">
        <v>10</v>
      </c>
      <c r="C336" s="5">
        <v>433</v>
      </c>
      <c r="D336" s="5" t="s">
        <v>1477</v>
      </c>
      <c r="E336" s="16">
        <v>1</v>
      </c>
      <c r="F336" s="6" t="s">
        <v>690</v>
      </c>
      <c r="G336" s="10" t="s">
        <v>237</v>
      </c>
      <c r="H336" s="6">
        <v>0</v>
      </c>
      <c r="I336" s="10" t="s">
        <v>238</v>
      </c>
      <c r="J336" s="29" t="s">
        <v>1102</v>
      </c>
      <c r="K336" s="1">
        <f t="shared" si="15"/>
        <v>432</v>
      </c>
      <c r="L336" s="1" t="str">
        <f t="shared" si="16"/>
        <v>1B0</v>
      </c>
      <c r="M336" s="1" t="str">
        <f t="shared" si="17"/>
        <v>0x001B0</v>
      </c>
    </row>
    <row r="337" spans="1:13" ht="40.5" x14ac:dyDescent="0.25">
      <c r="A337" s="16" t="s">
        <v>1057</v>
      </c>
      <c r="B337" s="15" t="s">
        <v>10</v>
      </c>
      <c r="C337" s="5">
        <v>434</v>
      </c>
      <c r="D337" s="5" t="s">
        <v>1478</v>
      </c>
      <c r="E337" s="16">
        <v>1</v>
      </c>
      <c r="F337" s="6" t="s">
        <v>691</v>
      </c>
      <c r="G337" s="10" t="s">
        <v>237</v>
      </c>
      <c r="H337" s="6">
        <v>0</v>
      </c>
      <c r="I337" s="10" t="s">
        <v>238</v>
      </c>
      <c r="J337" s="29" t="s">
        <v>1102</v>
      </c>
      <c r="K337" s="1">
        <f t="shared" si="15"/>
        <v>433</v>
      </c>
      <c r="L337" s="1" t="str">
        <f t="shared" si="16"/>
        <v>1B1</v>
      </c>
      <c r="M337" s="1" t="str">
        <f t="shared" si="17"/>
        <v>0x001B1</v>
      </c>
    </row>
    <row r="338" spans="1:13" ht="40.5" x14ac:dyDescent="0.25">
      <c r="A338" s="16" t="s">
        <v>1058</v>
      </c>
      <c r="B338" s="15" t="s">
        <v>10</v>
      </c>
      <c r="C338" s="5">
        <v>435</v>
      </c>
      <c r="D338" s="5" t="s">
        <v>1479</v>
      </c>
      <c r="E338" s="16">
        <v>1</v>
      </c>
      <c r="F338" s="6" t="s">
        <v>692</v>
      </c>
      <c r="G338" s="10" t="s">
        <v>237</v>
      </c>
      <c r="H338" s="6">
        <v>0</v>
      </c>
      <c r="I338" s="10" t="s">
        <v>238</v>
      </c>
      <c r="J338" s="29" t="s">
        <v>1102</v>
      </c>
      <c r="K338" s="1">
        <f t="shared" si="15"/>
        <v>434</v>
      </c>
      <c r="L338" s="1" t="str">
        <f t="shared" si="16"/>
        <v>1B2</v>
      </c>
      <c r="M338" s="1" t="str">
        <f t="shared" si="17"/>
        <v>0x001B2</v>
      </c>
    </row>
    <row r="339" spans="1:13" ht="40.5" x14ac:dyDescent="0.25">
      <c r="A339" s="16" t="s">
        <v>428</v>
      </c>
      <c r="B339" s="15" t="s">
        <v>10</v>
      </c>
      <c r="C339" s="5">
        <v>436</v>
      </c>
      <c r="D339" s="5" t="s">
        <v>1480</v>
      </c>
      <c r="E339" s="16">
        <v>1</v>
      </c>
      <c r="F339" s="6" t="s">
        <v>693</v>
      </c>
      <c r="G339" s="6" t="s">
        <v>55</v>
      </c>
      <c r="H339" s="10" t="s">
        <v>56</v>
      </c>
      <c r="I339" s="10" t="s">
        <v>57</v>
      </c>
      <c r="J339" s="29" t="s">
        <v>1014</v>
      </c>
      <c r="K339" s="1">
        <f t="shared" si="15"/>
        <v>435</v>
      </c>
      <c r="L339" s="1" t="str">
        <f t="shared" si="16"/>
        <v>1B3</v>
      </c>
      <c r="M339" s="1" t="str">
        <f t="shared" si="17"/>
        <v>0x001B3</v>
      </c>
    </row>
    <row r="340" spans="1:13" ht="40.5" x14ac:dyDescent="0.25">
      <c r="A340" s="16" t="s">
        <v>429</v>
      </c>
      <c r="B340" s="15" t="s">
        <v>10</v>
      </c>
      <c r="C340" s="5">
        <v>437</v>
      </c>
      <c r="D340" s="5" t="s">
        <v>1481</v>
      </c>
      <c r="E340" s="16">
        <v>1</v>
      </c>
      <c r="F340" s="6" t="s">
        <v>694</v>
      </c>
      <c r="G340" s="6" t="s">
        <v>55</v>
      </c>
      <c r="H340" s="10" t="s">
        <v>56</v>
      </c>
      <c r="I340" s="10" t="s">
        <v>57</v>
      </c>
      <c r="J340" s="29" t="s">
        <v>1014</v>
      </c>
      <c r="K340" s="1">
        <f t="shared" si="15"/>
        <v>436</v>
      </c>
      <c r="L340" s="1" t="str">
        <f t="shared" si="16"/>
        <v>1B4</v>
      </c>
      <c r="M340" s="1" t="str">
        <f t="shared" si="17"/>
        <v>0x001B4</v>
      </c>
    </row>
    <row r="341" spans="1:13" ht="40.5" x14ac:dyDescent="0.25">
      <c r="A341" s="16" t="s">
        <v>430</v>
      </c>
      <c r="B341" s="15" t="s">
        <v>10</v>
      </c>
      <c r="C341" s="5">
        <v>438</v>
      </c>
      <c r="D341" s="5" t="s">
        <v>1482</v>
      </c>
      <c r="E341" s="16">
        <v>1</v>
      </c>
      <c r="F341" s="6" t="s">
        <v>695</v>
      </c>
      <c r="G341" s="6" t="s">
        <v>55</v>
      </c>
      <c r="H341" s="10" t="s">
        <v>56</v>
      </c>
      <c r="I341" s="10" t="s">
        <v>57</v>
      </c>
      <c r="J341" s="29" t="s">
        <v>1014</v>
      </c>
      <c r="K341" s="1">
        <f t="shared" si="15"/>
        <v>437</v>
      </c>
      <c r="L341" s="1" t="str">
        <f t="shared" si="16"/>
        <v>1B5</v>
      </c>
      <c r="M341" s="1" t="str">
        <f t="shared" si="17"/>
        <v>0x001B5</v>
      </c>
    </row>
    <row r="342" spans="1:13" ht="40.5" x14ac:dyDescent="0.25">
      <c r="A342" s="16" t="s">
        <v>431</v>
      </c>
      <c r="B342" s="15" t="s">
        <v>10</v>
      </c>
      <c r="C342" s="5">
        <v>439</v>
      </c>
      <c r="D342" s="5" t="s">
        <v>1483</v>
      </c>
      <c r="E342" s="16">
        <v>1</v>
      </c>
      <c r="F342" s="6" t="s">
        <v>696</v>
      </c>
      <c r="G342" s="6" t="s">
        <v>55</v>
      </c>
      <c r="H342" s="10" t="s">
        <v>56</v>
      </c>
      <c r="I342" s="10" t="s">
        <v>57</v>
      </c>
      <c r="J342" s="29" t="s">
        <v>1014</v>
      </c>
      <c r="K342" s="1">
        <f t="shared" si="15"/>
        <v>438</v>
      </c>
      <c r="L342" s="1" t="str">
        <f t="shared" si="16"/>
        <v>1B6</v>
      </c>
      <c r="M342" s="1" t="str">
        <f t="shared" si="17"/>
        <v>0x001B6</v>
      </c>
    </row>
    <row r="343" spans="1:13" ht="40.5" x14ac:dyDescent="0.25">
      <c r="A343" s="16" t="s">
        <v>432</v>
      </c>
      <c r="B343" s="15" t="s">
        <v>10</v>
      </c>
      <c r="C343" s="5">
        <v>440</v>
      </c>
      <c r="D343" s="5" t="s">
        <v>1484</v>
      </c>
      <c r="E343" s="16">
        <v>1</v>
      </c>
      <c r="F343" s="6" t="s">
        <v>697</v>
      </c>
      <c r="G343" s="6" t="s">
        <v>55</v>
      </c>
      <c r="H343" s="10" t="s">
        <v>56</v>
      </c>
      <c r="I343" s="10" t="s">
        <v>57</v>
      </c>
      <c r="J343" s="29" t="s">
        <v>1014</v>
      </c>
      <c r="K343" s="1">
        <f t="shared" si="15"/>
        <v>439</v>
      </c>
      <c r="L343" s="1" t="str">
        <f t="shared" si="16"/>
        <v>1B7</v>
      </c>
      <c r="M343" s="1" t="str">
        <f t="shared" si="17"/>
        <v>0x001B7</v>
      </c>
    </row>
    <row r="344" spans="1:13" ht="40.5" x14ac:dyDescent="0.25">
      <c r="A344" s="16" t="s">
        <v>433</v>
      </c>
      <c r="B344" s="15" t="s">
        <v>10</v>
      </c>
      <c r="C344" s="5">
        <v>441</v>
      </c>
      <c r="D344" s="5" t="s">
        <v>1485</v>
      </c>
      <c r="E344" s="16">
        <v>1</v>
      </c>
      <c r="F344" s="6" t="s">
        <v>698</v>
      </c>
      <c r="G344" s="6" t="s">
        <v>55</v>
      </c>
      <c r="H344" s="10" t="s">
        <v>56</v>
      </c>
      <c r="I344" s="10" t="s">
        <v>57</v>
      </c>
      <c r="J344" s="29" t="s">
        <v>1014</v>
      </c>
      <c r="K344" s="1">
        <f t="shared" si="15"/>
        <v>440</v>
      </c>
      <c r="L344" s="1" t="str">
        <f t="shared" si="16"/>
        <v>1B8</v>
      </c>
      <c r="M344" s="1" t="str">
        <f t="shared" si="17"/>
        <v>0x001B8</v>
      </c>
    </row>
    <row r="345" spans="1:13" ht="40.5" x14ac:dyDescent="0.25">
      <c r="A345" s="16" t="s">
        <v>434</v>
      </c>
      <c r="B345" s="15" t="s">
        <v>10</v>
      </c>
      <c r="C345" s="5">
        <v>442</v>
      </c>
      <c r="D345" s="5" t="s">
        <v>1486</v>
      </c>
      <c r="E345" s="16">
        <v>1</v>
      </c>
      <c r="F345" s="6" t="s">
        <v>699</v>
      </c>
      <c r="G345" s="6" t="s">
        <v>55</v>
      </c>
      <c r="H345" s="10" t="s">
        <v>56</v>
      </c>
      <c r="I345" s="10" t="s">
        <v>57</v>
      </c>
      <c r="J345" s="29" t="s">
        <v>1014</v>
      </c>
      <c r="K345" s="1">
        <f t="shared" si="15"/>
        <v>441</v>
      </c>
      <c r="L345" s="1" t="str">
        <f t="shared" si="16"/>
        <v>1B9</v>
      </c>
      <c r="M345" s="1" t="str">
        <f t="shared" si="17"/>
        <v>0x001B9</v>
      </c>
    </row>
    <row r="346" spans="1:13" ht="40.5" x14ac:dyDescent="0.25">
      <c r="A346" s="16" t="s">
        <v>435</v>
      </c>
      <c r="B346" s="15" t="s">
        <v>10</v>
      </c>
      <c r="C346" s="5">
        <v>443</v>
      </c>
      <c r="D346" s="5" t="s">
        <v>1487</v>
      </c>
      <c r="E346" s="16">
        <v>1</v>
      </c>
      <c r="F346" s="6" t="s">
        <v>700</v>
      </c>
      <c r="G346" s="6" t="s">
        <v>55</v>
      </c>
      <c r="H346" s="10" t="s">
        <v>56</v>
      </c>
      <c r="I346" s="10" t="s">
        <v>57</v>
      </c>
      <c r="J346" s="29" t="s">
        <v>1014</v>
      </c>
      <c r="K346" s="1">
        <f t="shared" si="15"/>
        <v>442</v>
      </c>
      <c r="L346" s="1" t="str">
        <f t="shared" si="16"/>
        <v>1BA</v>
      </c>
      <c r="M346" s="1" t="str">
        <f t="shared" si="17"/>
        <v>0x001BA</v>
      </c>
    </row>
    <row r="347" spans="1:13" ht="40.5" x14ac:dyDescent="0.25">
      <c r="A347" s="16" t="s">
        <v>436</v>
      </c>
      <c r="B347" s="15" t="s">
        <v>10</v>
      </c>
      <c r="C347" s="5">
        <v>444</v>
      </c>
      <c r="D347" s="5" t="s">
        <v>1488</v>
      </c>
      <c r="E347" s="16">
        <v>1</v>
      </c>
      <c r="F347" s="6" t="s">
        <v>701</v>
      </c>
      <c r="G347" s="6" t="s">
        <v>55</v>
      </c>
      <c r="H347" s="10" t="s">
        <v>56</v>
      </c>
      <c r="I347" s="10" t="s">
        <v>57</v>
      </c>
      <c r="J347" s="29" t="s">
        <v>1014</v>
      </c>
      <c r="K347" s="1">
        <f t="shared" si="15"/>
        <v>443</v>
      </c>
      <c r="L347" s="1" t="str">
        <f t="shared" si="16"/>
        <v>1BB</v>
      </c>
      <c r="M347" s="1" t="str">
        <f t="shared" si="17"/>
        <v>0x001BB</v>
      </c>
    </row>
    <row r="348" spans="1:13" ht="40.5" x14ac:dyDescent="0.25">
      <c r="A348" s="16" t="s">
        <v>437</v>
      </c>
      <c r="B348" s="15" t="s">
        <v>10</v>
      </c>
      <c r="C348" s="5">
        <v>445</v>
      </c>
      <c r="D348" s="5" t="s">
        <v>1489</v>
      </c>
      <c r="E348" s="16">
        <v>1</v>
      </c>
      <c r="F348" s="6" t="s">
        <v>702</v>
      </c>
      <c r="G348" s="6" t="s">
        <v>55</v>
      </c>
      <c r="H348" s="10" t="s">
        <v>56</v>
      </c>
      <c r="I348" s="10" t="s">
        <v>57</v>
      </c>
      <c r="J348" s="29" t="s">
        <v>1014</v>
      </c>
      <c r="K348" s="1">
        <f t="shared" si="15"/>
        <v>444</v>
      </c>
      <c r="L348" s="1" t="str">
        <f t="shared" si="16"/>
        <v>1BC</v>
      </c>
      <c r="M348" s="1" t="str">
        <f t="shared" si="17"/>
        <v>0x001BC</v>
      </c>
    </row>
    <row r="349" spans="1:13" ht="40.5" x14ac:dyDescent="0.25">
      <c r="A349" s="16" t="s">
        <v>438</v>
      </c>
      <c r="B349" s="15" t="s">
        <v>10</v>
      </c>
      <c r="C349" s="5">
        <v>446</v>
      </c>
      <c r="D349" s="5" t="s">
        <v>1490</v>
      </c>
      <c r="E349" s="16">
        <v>1</v>
      </c>
      <c r="F349" s="19" t="s">
        <v>703</v>
      </c>
      <c r="G349" s="6" t="s">
        <v>55</v>
      </c>
      <c r="H349" s="10" t="s">
        <v>56</v>
      </c>
      <c r="I349" s="10" t="s">
        <v>57</v>
      </c>
      <c r="J349" s="29" t="s">
        <v>1014</v>
      </c>
      <c r="K349" s="1">
        <f t="shared" si="15"/>
        <v>445</v>
      </c>
      <c r="L349" s="1" t="str">
        <f t="shared" si="16"/>
        <v>1BD</v>
      </c>
      <c r="M349" s="1" t="str">
        <f t="shared" si="17"/>
        <v>0x001BD</v>
      </c>
    </row>
    <row r="350" spans="1:13" ht="40.5" x14ac:dyDescent="0.25">
      <c r="A350" s="16" t="s">
        <v>439</v>
      </c>
      <c r="B350" s="15" t="s">
        <v>10</v>
      </c>
      <c r="C350" s="5">
        <v>447</v>
      </c>
      <c r="D350" s="5" t="s">
        <v>1491</v>
      </c>
      <c r="E350" s="16">
        <v>1</v>
      </c>
      <c r="F350" s="19" t="s">
        <v>704</v>
      </c>
      <c r="G350" s="6" t="s">
        <v>55</v>
      </c>
      <c r="H350" s="10" t="s">
        <v>56</v>
      </c>
      <c r="I350" s="10" t="s">
        <v>57</v>
      </c>
      <c r="J350" s="29" t="s">
        <v>1014</v>
      </c>
      <c r="K350" s="1">
        <f t="shared" si="15"/>
        <v>446</v>
      </c>
      <c r="L350" s="1" t="str">
        <f t="shared" si="16"/>
        <v>1BE</v>
      </c>
      <c r="M350" s="1" t="str">
        <f t="shared" si="17"/>
        <v>0x001BE</v>
      </c>
    </row>
    <row r="351" spans="1:13" ht="40.5" x14ac:dyDescent="0.25">
      <c r="A351" s="16" t="s">
        <v>440</v>
      </c>
      <c r="B351" s="15" t="s">
        <v>10</v>
      </c>
      <c r="C351" s="5">
        <v>448</v>
      </c>
      <c r="D351" s="5" t="s">
        <v>1492</v>
      </c>
      <c r="E351" s="16">
        <v>1</v>
      </c>
      <c r="F351" s="19" t="s">
        <v>705</v>
      </c>
      <c r="G351" s="6" t="s">
        <v>55</v>
      </c>
      <c r="H351" s="10" t="s">
        <v>56</v>
      </c>
      <c r="I351" s="10" t="s">
        <v>57</v>
      </c>
      <c r="J351" s="29" t="s">
        <v>1014</v>
      </c>
      <c r="K351" s="1">
        <f t="shared" si="15"/>
        <v>447</v>
      </c>
      <c r="L351" s="1" t="str">
        <f t="shared" si="16"/>
        <v>1BF</v>
      </c>
      <c r="M351" s="1" t="str">
        <f t="shared" si="17"/>
        <v>0x001BF</v>
      </c>
    </row>
    <row r="352" spans="1:13" ht="40.5" x14ac:dyDescent="0.25">
      <c r="A352" s="16" t="s">
        <v>441</v>
      </c>
      <c r="B352" s="15" t="s">
        <v>10</v>
      </c>
      <c r="C352" s="5">
        <v>449</v>
      </c>
      <c r="D352" s="5" t="s">
        <v>1493</v>
      </c>
      <c r="E352" s="16">
        <v>1</v>
      </c>
      <c r="F352" s="19" t="s">
        <v>706</v>
      </c>
      <c r="G352" s="6" t="s">
        <v>55</v>
      </c>
      <c r="H352" s="10" t="s">
        <v>56</v>
      </c>
      <c r="I352" s="10" t="s">
        <v>57</v>
      </c>
      <c r="J352" s="29" t="s">
        <v>1014</v>
      </c>
      <c r="K352" s="1">
        <f t="shared" si="15"/>
        <v>448</v>
      </c>
      <c r="L352" s="1" t="str">
        <f t="shared" si="16"/>
        <v>1C0</v>
      </c>
      <c r="M352" s="1" t="str">
        <f t="shared" si="17"/>
        <v>0x001C0</v>
      </c>
    </row>
    <row r="353" spans="1:13" ht="40.5" x14ac:dyDescent="0.25">
      <c r="A353" s="16" t="s">
        <v>442</v>
      </c>
      <c r="B353" s="15" t="s">
        <v>10</v>
      </c>
      <c r="C353" s="5">
        <v>450</v>
      </c>
      <c r="D353" s="5" t="s">
        <v>1494</v>
      </c>
      <c r="E353" s="16">
        <v>1</v>
      </c>
      <c r="F353" s="19" t="s">
        <v>707</v>
      </c>
      <c r="G353" s="6" t="s">
        <v>55</v>
      </c>
      <c r="H353" s="10" t="s">
        <v>56</v>
      </c>
      <c r="I353" s="10" t="s">
        <v>57</v>
      </c>
      <c r="J353" s="29" t="s">
        <v>1014</v>
      </c>
      <c r="K353" s="1">
        <f t="shared" si="15"/>
        <v>449</v>
      </c>
      <c r="L353" s="1" t="str">
        <f t="shared" si="16"/>
        <v>1C1</v>
      </c>
      <c r="M353" s="1" t="str">
        <f t="shared" si="17"/>
        <v>0x001C1</v>
      </c>
    </row>
    <row r="354" spans="1:13" ht="40.5" x14ac:dyDescent="0.25">
      <c r="A354" s="16" t="s">
        <v>443</v>
      </c>
      <c r="B354" s="15" t="s">
        <v>10</v>
      </c>
      <c r="C354" s="5">
        <v>451</v>
      </c>
      <c r="D354" s="5" t="s">
        <v>1495</v>
      </c>
      <c r="E354" s="16">
        <v>1</v>
      </c>
      <c r="F354" s="19" t="s">
        <v>708</v>
      </c>
      <c r="G354" s="6" t="s">
        <v>55</v>
      </c>
      <c r="H354" s="10" t="s">
        <v>56</v>
      </c>
      <c r="I354" s="10" t="s">
        <v>57</v>
      </c>
      <c r="J354" s="29" t="s">
        <v>1014</v>
      </c>
      <c r="K354" s="1">
        <f t="shared" si="15"/>
        <v>450</v>
      </c>
      <c r="L354" s="1" t="str">
        <f t="shared" si="16"/>
        <v>1C2</v>
      </c>
      <c r="M354" s="1" t="str">
        <f t="shared" si="17"/>
        <v>0x001C2</v>
      </c>
    </row>
    <row r="355" spans="1:13" ht="40.5" x14ac:dyDescent="0.25">
      <c r="A355" s="16" t="s">
        <v>444</v>
      </c>
      <c r="B355" s="15" t="s">
        <v>10</v>
      </c>
      <c r="C355" s="5">
        <v>452</v>
      </c>
      <c r="D355" s="5" t="s">
        <v>1496</v>
      </c>
      <c r="E355" s="16">
        <v>1</v>
      </c>
      <c r="F355" s="19" t="s">
        <v>709</v>
      </c>
      <c r="G355" s="6" t="s">
        <v>55</v>
      </c>
      <c r="H355" s="10" t="s">
        <v>56</v>
      </c>
      <c r="I355" s="10" t="s">
        <v>57</v>
      </c>
      <c r="J355" s="29" t="s">
        <v>1014</v>
      </c>
      <c r="K355" s="1">
        <f t="shared" si="15"/>
        <v>451</v>
      </c>
      <c r="L355" s="1" t="str">
        <f t="shared" si="16"/>
        <v>1C3</v>
      </c>
      <c r="M355" s="1" t="str">
        <f t="shared" si="17"/>
        <v>0x001C3</v>
      </c>
    </row>
    <row r="356" spans="1:13" ht="40.5" x14ac:dyDescent="0.25">
      <c r="A356" s="16" t="s">
        <v>445</v>
      </c>
      <c r="B356" s="15" t="s">
        <v>10</v>
      </c>
      <c r="C356" s="5">
        <v>453</v>
      </c>
      <c r="D356" s="5" t="s">
        <v>1497</v>
      </c>
      <c r="E356" s="16">
        <v>1</v>
      </c>
      <c r="F356" s="19" t="s">
        <v>710</v>
      </c>
      <c r="G356" s="6" t="s">
        <v>55</v>
      </c>
      <c r="H356" s="10" t="s">
        <v>56</v>
      </c>
      <c r="I356" s="10" t="s">
        <v>57</v>
      </c>
      <c r="J356" s="29" t="s">
        <v>1014</v>
      </c>
      <c r="K356" s="1">
        <f t="shared" si="15"/>
        <v>452</v>
      </c>
      <c r="L356" s="1" t="str">
        <f t="shared" si="16"/>
        <v>1C4</v>
      </c>
      <c r="M356" s="1" t="str">
        <f t="shared" si="17"/>
        <v>0x001C4</v>
      </c>
    </row>
    <row r="357" spans="1:13" ht="40.5" x14ac:dyDescent="0.25">
      <c r="A357" s="16" t="s">
        <v>446</v>
      </c>
      <c r="B357" s="15" t="s">
        <v>10</v>
      </c>
      <c r="C357" s="5">
        <v>454</v>
      </c>
      <c r="D357" s="5" t="s">
        <v>1498</v>
      </c>
      <c r="E357" s="16">
        <v>1</v>
      </c>
      <c r="F357" s="19" t="s">
        <v>711</v>
      </c>
      <c r="G357" s="6" t="s">
        <v>55</v>
      </c>
      <c r="H357" s="10" t="s">
        <v>56</v>
      </c>
      <c r="I357" s="10" t="s">
        <v>57</v>
      </c>
      <c r="J357" s="29" t="s">
        <v>1014</v>
      </c>
      <c r="K357" s="1">
        <f t="shared" si="15"/>
        <v>453</v>
      </c>
      <c r="L357" s="1" t="str">
        <f t="shared" si="16"/>
        <v>1C5</v>
      </c>
      <c r="M357" s="1" t="str">
        <f t="shared" si="17"/>
        <v>0x001C5</v>
      </c>
    </row>
    <row r="358" spans="1:13" ht="40.5" x14ac:dyDescent="0.25">
      <c r="A358" s="16" t="s">
        <v>447</v>
      </c>
      <c r="B358" s="15" t="s">
        <v>10</v>
      </c>
      <c r="C358" s="5">
        <v>455</v>
      </c>
      <c r="D358" s="5" t="s">
        <v>1499</v>
      </c>
      <c r="E358" s="16">
        <v>1</v>
      </c>
      <c r="F358" s="19" t="s">
        <v>712</v>
      </c>
      <c r="G358" s="6" t="s">
        <v>55</v>
      </c>
      <c r="H358" s="10" t="s">
        <v>56</v>
      </c>
      <c r="I358" s="10" t="s">
        <v>57</v>
      </c>
      <c r="J358" s="29" t="s">
        <v>1014</v>
      </c>
      <c r="K358" s="1">
        <f t="shared" si="15"/>
        <v>454</v>
      </c>
      <c r="L358" s="1" t="str">
        <f t="shared" si="16"/>
        <v>1C6</v>
      </c>
      <c r="M358" s="1" t="str">
        <f t="shared" si="17"/>
        <v>0x001C6</v>
      </c>
    </row>
    <row r="359" spans="1:13" ht="40.5" x14ac:dyDescent="0.25">
      <c r="A359" s="16" t="s">
        <v>448</v>
      </c>
      <c r="B359" s="15" t="s">
        <v>10</v>
      </c>
      <c r="C359" s="5">
        <v>456</v>
      </c>
      <c r="D359" s="5" t="s">
        <v>1500</v>
      </c>
      <c r="E359" s="16">
        <v>1</v>
      </c>
      <c r="F359" s="6" t="s">
        <v>631</v>
      </c>
      <c r="G359" s="10" t="s">
        <v>99</v>
      </c>
      <c r="H359" s="10" t="s">
        <v>201</v>
      </c>
      <c r="I359" s="10" t="s">
        <v>101</v>
      </c>
      <c r="J359" s="30" t="s">
        <v>1020</v>
      </c>
      <c r="K359" s="1">
        <f t="shared" si="15"/>
        <v>455</v>
      </c>
      <c r="L359" s="1" t="str">
        <f t="shared" si="16"/>
        <v>1C7</v>
      </c>
      <c r="M359" s="1" t="str">
        <f t="shared" si="17"/>
        <v>0x001C7</v>
      </c>
    </row>
    <row r="360" spans="1:13" ht="60.75" x14ac:dyDescent="0.25">
      <c r="A360" s="16" t="s">
        <v>449</v>
      </c>
      <c r="B360" s="15" t="s">
        <v>10</v>
      </c>
      <c r="C360" s="5">
        <v>457</v>
      </c>
      <c r="D360" s="5" t="s">
        <v>1501</v>
      </c>
      <c r="E360" s="16">
        <v>1</v>
      </c>
      <c r="F360" s="6" t="s">
        <v>893</v>
      </c>
      <c r="G360" s="10" t="s">
        <v>403</v>
      </c>
      <c r="H360" s="10" t="s">
        <v>190</v>
      </c>
      <c r="I360" s="10" t="s">
        <v>404</v>
      </c>
      <c r="J360" s="30" t="s">
        <v>1121</v>
      </c>
      <c r="K360" s="1">
        <f t="shared" si="15"/>
        <v>456</v>
      </c>
      <c r="L360" s="1" t="str">
        <f t="shared" si="16"/>
        <v>1C8</v>
      </c>
      <c r="M360" s="1" t="str">
        <f t="shared" si="17"/>
        <v>0x001C8</v>
      </c>
    </row>
    <row r="361" spans="1:13" ht="40.5" x14ac:dyDescent="0.25">
      <c r="A361" s="16" t="s">
        <v>450</v>
      </c>
      <c r="B361" s="15" t="s">
        <v>10</v>
      </c>
      <c r="C361" s="5">
        <v>458</v>
      </c>
      <c r="D361" s="5" t="s">
        <v>1502</v>
      </c>
      <c r="E361" s="16">
        <v>1</v>
      </c>
      <c r="F361" s="19" t="s">
        <v>892</v>
      </c>
      <c r="G361" s="6" t="s">
        <v>55</v>
      </c>
      <c r="H361" s="10" t="s">
        <v>56</v>
      </c>
      <c r="I361" s="10" t="s">
        <v>57</v>
      </c>
      <c r="J361" s="30" t="s">
        <v>1014</v>
      </c>
      <c r="K361" s="1">
        <f t="shared" si="15"/>
        <v>457</v>
      </c>
      <c r="L361" s="1" t="str">
        <f t="shared" si="16"/>
        <v>1C9</v>
      </c>
      <c r="M361" s="1" t="str">
        <f t="shared" si="17"/>
        <v>0x001C9</v>
      </c>
    </row>
    <row r="362" spans="1:13" ht="60.75" x14ac:dyDescent="0.25">
      <c r="A362" s="16" t="s">
        <v>451</v>
      </c>
      <c r="B362" s="15" t="s">
        <v>10</v>
      </c>
      <c r="C362" s="5">
        <v>459</v>
      </c>
      <c r="D362" s="5" t="s">
        <v>1503</v>
      </c>
      <c r="E362" s="16">
        <v>1</v>
      </c>
      <c r="F362" s="20" t="s">
        <v>900</v>
      </c>
      <c r="G362" s="10" t="s">
        <v>381</v>
      </c>
      <c r="H362" s="18">
        <v>-1.25</v>
      </c>
      <c r="I362" s="10" t="s">
        <v>382</v>
      </c>
      <c r="J362" s="30" t="s">
        <v>1120</v>
      </c>
      <c r="K362" s="1">
        <f t="shared" si="15"/>
        <v>458</v>
      </c>
      <c r="L362" s="1" t="str">
        <f t="shared" si="16"/>
        <v>1CA</v>
      </c>
      <c r="M362" s="1" t="str">
        <f t="shared" si="17"/>
        <v>0x001CA</v>
      </c>
    </row>
    <row r="363" spans="1:13" ht="40.5" x14ac:dyDescent="0.25">
      <c r="A363" s="16" t="s">
        <v>452</v>
      </c>
      <c r="B363" s="15" t="s">
        <v>10</v>
      </c>
      <c r="C363" s="5">
        <v>460</v>
      </c>
      <c r="D363" s="5" t="s">
        <v>1504</v>
      </c>
      <c r="E363" s="16">
        <v>1</v>
      </c>
      <c r="F363" s="6" t="s">
        <v>897</v>
      </c>
      <c r="G363" s="10" t="s">
        <v>237</v>
      </c>
      <c r="H363" s="6">
        <v>0</v>
      </c>
      <c r="I363" s="10" t="s">
        <v>238</v>
      </c>
      <c r="J363" s="30" t="s">
        <v>1102</v>
      </c>
      <c r="K363" s="1">
        <f t="shared" si="15"/>
        <v>459</v>
      </c>
      <c r="L363" s="1" t="str">
        <f t="shared" si="16"/>
        <v>1CB</v>
      </c>
      <c r="M363" s="1" t="str">
        <f t="shared" si="17"/>
        <v>0x001CB</v>
      </c>
    </row>
    <row r="364" spans="1:13" ht="40.5" x14ac:dyDescent="0.25">
      <c r="A364" s="16" t="s">
        <v>453</v>
      </c>
      <c r="B364" s="15" t="s">
        <v>10</v>
      </c>
      <c r="C364" s="5">
        <v>461</v>
      </c>
      <c r="D364" s="5" t="s">
        <v>1505</v>
      </c>
      <c r="E364" s="16">
        <v>1</v>
      </c>
      <c r="F364" s="6" t="s">
        <v>631</v>
      </c>
      <c r="G364" s="10" t="s">
        <v>99</v>
      </c>
      <c r="H364" s="10" t="s">
        <v>201</v>
      </c>
      <c r="I364" s="10" t="s">
        <v>101</v>
      </c>
      <c r="J364" s="30" t="s">
        <v>1020</v>
      </c>
      <c r="K364" s="1">
        <f t="shared" si="15"/>
        <v>460</v>
      </c>
      <c r="L364" s="1" t="str">
        <f t="shared" si="16"/>
        <v>1CC</v>
      </c>
      <c r="M364" s="1" t="str">
        <f t="shared" si="17"/>
        <v>0x001CC</v>
      </c>
    </row>
    <row r="365" spans="1:13" ht="60.75" x14ac:dyDescent="0.25">
      <c r="A365" s="16" t="s">
        <v>454</v>
      </c>
      <c r="B365" s="15" t="s">
        <v>10</v>
      </c>
      <c r="C365" s="5">
        <v>462</v>
      </c>
      <c r="D365" s="5" t="s">
        <v>1506</v>
      </c>
      <c r="E365" s="16">
        <v>1</v>
      </c>
      <c r="F365" s="6" t="s">
        <v>894</v>
      </c>
      <c r="G365" s="10" t="s">
        <v>403</v>
      </c>
      <c r="H365" s="10" t="s">
        <v>190</v>
      </c>
      <c r="I365" s="10" t="s">
        <v>404</v>
      </c>
      <c r="J365" s="30" t="s">
        <v>1121</v>
      </c>
      <c r="K365" s="1">
        <f t="shared" si="15"/>
        <v>461</v>
      </c>
      <c r="L365" s="1" t="str">
        <f t="shared" si="16"/>
        <v>1CD</v>
      </c>
      <c r="M365" s="1" t="str">
        <f t="shared" si="17"/>
        <v>0x001CD</v>
      </c>
    </row>
    <row r="366" spans="1:13" ht="40.5" x14ac:dyDescent="0.25">
      <c r="A366" s="16" t="s">
        <v>455</v>
      </c>
      <c r="B366" s="15" t="s">
        <v>10</v>
      </c>
      <c r="C366" s="5">
        <v>463</v>
      </c>
      <c r="D366" s="5" t="s">
        <v>1507</v>
      </c>
      <c r="E366" s="16">
        <v>1</v>
      </c>
      <c r="F366" s="6" t="s">
        <v>904</v>
      </c>
      <c r="G366" s="6" t="s">
        <v>55</v>
      </c>
      <c r="H366" s="10" t="s">
        <v>56</v>
      </c>
      <c r="I366" s="10" t="s">
        <v>57</v>
      </c>
      <c r="J366" s="30" t="s">
        <v>1014</v>
      </c>
      <c r="K366" s="1">
        <f t="shared" si="15"/>
        <v>462</v>
      </c>
      <c r="L366" s="1" t="str">
        <f t="shared" si="16"/>
        <v>1CE</v>
      </c>
      <c r="M366" s="1" t="str">
        <f t="shared" si="17"/>
        <v>0x001CE</v>
      </c>
    </row>
    <row r="367" spans="1:13" ht="60.75" x14ac:dyDescent="0.25">
      <c r="A367" s="16" t="s">
        <v>456</v>
      </c>
      <c r="B367" s="15" t="s">
        <v>10</v>
      </c>
      <c r="C367" s="5">
        <v>464</v>
      </c>
      <c r="D367" s="5" t="s">
        <v>1508</v>
      </c>
      <c r="E367" s="16">
        <v>1</v>
      </c>
      <c r="F367" s="20" t="s">
        <v>901</v>
      </c>
      <c r="G367" s="10" t="s">
        <v>381</v>
      </c>
      <c r="H367" s="18">
        <v>-1.25</v>
      </c>
      <c r="I367" s="10" t="s">
        <v>382</v>
      </c>
      <c r="J367" s="30" t="s">
        <v>1120</v>
      </c>
      <c r="K367" s="1">
        <f t="shared" si="15"/>
        <v>463</v>
      </c>
      <c r="L367" s="1" t="str">
        <f t="shared" si="16"/>
        <v>1CF</v>
      </c>
      <c r="M367" s="1" t="str">
        <f t="shared" si="17"/>
        <v>0x001CF</v>
      </c>
    </row>
    <row r="368" spans="1:13" ht="40.5" x14ac:dyDescent="0.25">
      <c r="A368" s="16" t="s">
        <v>457</v>
      </c>
      <c r="B368" s="15" t="s">
        <v>10</v>
      </c>
      <c r="C368" s="5">
        <v>465</v>
      </c>
      <c r="D368" s="5" t="s">
        <v>1509</v>
      </c>
      <c r="E368" s="16">
        <v>1</v>
      </c>
      <c r="F368" s="6" t="s">
        <v>898</v>
      </c>
      <c r="G368" s="10" t="s">
        <v>237</v>
      </c>
      <c r="H368" s="6">
        <v>0</v>
      </c>
      <c r="I368" s="10" t="s">
        <v>238</v>
      </c>
      <c r="J368" s="30" t="s">
        <v>1102</v>
      </c>
      <c r="K368" s="1">
        <f t="shared" si="15"/>
        <v>464</v>
      </c>
      <c r="L368" s="1" t="str">
        <f t="shared" si="16"/>
        <v>1D0</v>
      </c>
      <c r="M368" s="1" t="str">
        <f t="shared" si="17"/>
        <v>0x001D0</v>
      </c>
    </row>
    <row r="369" spans="1:13" ht="40.5" x14ac:dyDescent="0.25">
      <c r="A369" s="16" t="s">
        <v>458</v>
      </c>
      <c r="B369" s="15" t="s">
        <v>10</v>
      </c>
      <c r="C369" s="5">
        <v>466</v>
      </c>
      <c r="D369" s="5" t="s">
        <v>1510</v>
      </c>
      <c r="E369" s="16">
        <v>1</v>
      </c>
      <c r="F369" s="6" t="s">
        <v>631</v>
      </c>
      <c r="G369" s="10" t="s">
        <v>99</v>
      </c>
      <c r="H369" s="10" t="s">
        <v>201</v>
      </c>
      <c r="I369" s="10" t="s">
        <v>101</v>
      </c>
      <c r="J369" s="30" t="s">
        <v>1020</v>
      </c>
      <c r="K369" s="1">
        <f t="shared" si="15"/>
        <v>465</v>
      </c>
      <c r="L369" s="1" t="str">
        <f t="shared" si="16"/>
        <v>1D1</v>
      </c>
      <c r="M369" s="1" t="str">
        <f t="shared" si="17"/>
        <v>0x001D1</v>
      </c>
    </row>
    <row r="370" spans="1:13" ht="60.75" x14ac:dyDescent="0.25">
      <c r="A370" s="16" t="s">
        <v>459</v>
      </c>
      <c r="B370" s="15" t="s">
        <v>10</v>
      </c>
      <c r="C370" s="5">
        <v>467</v>
      </c>
      <c r="D370" s="5" t="s">
        <v>1511</v>
      </c>
      <c r="E370" s="16">
        <v>1</v>
      </c>
      <c r="F370" s="6" t="s">
        <v>895</v>
      </c>
      <c r="G370" s="10" t="s">
        <v>403</v>
      </c>
      <c r="H370" s="10" t="s">
        <v>190</v>
      </c>
      <c r="I370" s="10" t="s">
        <v>404</v>
      </c>
      <c r="J370" s="30" t="s">
        <v>1121</v>
      </c>
      <c r="K370" s="1">
        <f t="shared" si="15"/>
        <v>466</v>
      </c>
      <c r="L370" s="1" t="str">
        <f t="shared" si="16"/>
        <v>1D2</v>
      </c>
      <c r="M370" s="1" t="str">
        <f t="shared" si="17"/>
        <v>0x001D2</v>
      </c>
    </row>
    <row r="371" spans="1:13" ht="40.5" x14ac:dyDescent="0.25">
      <c r="A371" s="16" t="s">
        <v>460</v>
      </c>
      <c r="B371" s="15" t="s">
        <v>10</v>
      </c>
      <c r="C371" s="5">
        <v>468</v>
      </c>
      <c r="D371" s="5" t="s">
        <v>1512</v>
      </c>
      <c r="E371" s="16">
        <v>1</v>
      </c>
      <c r="F371" s="6" t="s">
        <v>905</v>
      </c>
      <c r="G371" s="6" t="s">
        <v>55</v>
      </c>
      <c r="H371" s="10" t="s">
        <v>56</v>
      </c>
      <c r="I371" s="10" t="s">
        <v>57</v>
      </c>
      <c r="J371" s="30" t="s">
        <v>1014</v>
      </c>
      <c r="K371" s="1">
        <f t="shared" si="15"/>
        <v>467</v>
      </c>
      <c r="L371" s="1" t="str">
        <f t="shared" si="16"/>
        <v>1D3</v>
      </c>
      <c r="M371" s="1" t="str">
        <f t="shared" si="17"/>
        <v>0x001D3</v>
      </c>
    </row>
    <row r="372" spans="1:13" ht="60.75" x14ac:dyDescent="0.25">
      <c r="A372" s="16" t="s">
        <v>461</v>
      </c>
      <c r="B372" s="15" t="s">
        <v>10</v>
      </c>
      <c r="C372" s="5">
        <v>469</v>
      </c>
      <c r="D372" s="5" t="s">
        <v>1513</v>
      </c>
      <c r="E372" s="16">
        <v>1</v>
      </c>
      <c r="F372" s="20" t="s">
        <v>902</v>
      </c>
      <c r="G372" s="10" t="s">
        <v>381</v>
      </c>
      <c r="H372" s="18">
        <v>-1.25</v>
      </c>
      <c r="I372" s="10" t="s">
        <v>382</v>
      </c>
      <c r="J372" s="30" t="s">
        <v>1120</v>
      </c>
      <c r="K372" s="1">
        <f t="shared" si="15"/>
        <v>468</v>
      </c>
      <c r="L372" s="1" t="str">
        <f t="shared" si="16"/>
        <v>1D4</v>
      </c>
      <c r="M372" s="1" t="str">
        <f t="shared" si="17"/>
        <v>0x001D4</v>
      </c>
    </row>
    <row r="373" spans="1:13" ht="40.5" x14ac:dyDescent="0.25">
      <c r="A373" s="16" t="s">
        <v>462</v>
      </c>
      <c r="B373" s="15" t="s">
        <v>10</v>
      </c>
      <c r="C373" s="5">
        <v>470</v>
      </c>
      <c r="D373" s="5" t="s">
        <v>1514</v>
      </c>
      <c r="E373" s="16">
        <v>1</v>
      </c>
      <c r="F373" s="6" t="s">
        <v>899</v>
      </c>
      <c r="G373" s="10" t="s">
        <v>237</v>
      </c>
      <c r="H373" s="6">
        <v>0</v>
      </c>
      <c r="I373" s="10" t="s">
        <v>238</v>
      </c>
      <c r="J373" s="30" t="s">
        <v>1102</v>
      </c>
      <c r="K373" s="1">
        <f t="shared" si="15"/>
        <v>469</v>
      </c>
      <c r="L373" s="1" t="str">
        <f t="shared" si="16"/>
        <v>1D5</v>
      </c>
      <c r="M373" s="1" t="str">
        <f t="shared" si="17"/>
        <v>0x001D5</v>
      </c>
    </row>
    <row r="374" spans="1:13" ht="40.5" x14ac:dyDescent="0.25">
      <c r="A374" s="16" t="s">
        <v>463</v>
      </c>
      <c r="B374" s="15" t="s">
        <v>10</v>
      </c>
      <c r="C374" s="5">
        <v>471</v>
      </c>
      <c r="D374" s="5" t="s">
        <v>1515</v>
      </c>
      <c r="E374" s="16">
        <v>1</v>
      </c>
      <c r="F374" s="6" t="s">
        <v>631</v>
      </c>
      <c r="G374" s="10" t="s">
        <v>99</v>
      </c>
      <c r="H374" s="10" t="s">
        <v>201</v>
      </c>
      <c r="I374" s="10" t="s">
        <v>101</v>
      </c>
      <c r="J374" s="29" t="s">
        <v>1020</v>
      </c>
      <c r="K374" s="1">
        <f t="shared" si="15"/>
        <v>470</v>
      </c>
      <c r="L374" s="1" t="str">
        <f t="shared" si="16"/>
        <v>1D6</v>
      </c>
      <c r="M374" s="1" t="str">
        <f t="shared" si="17"/>
        <v>0x001D6</v>
      </c>
    </row>
    <row r="375" spans="1:13" ht="60.75" x14ac:dyDescent="0.25">
      <c r="A375" s="16" t="s">
        <v>464</v>
      </c>
      <c r="B375" s="15" t="s">
        <v>10</v>
      </c>
      <c r="C375" s="5">
        <v>472</v>
      </c>
      <c r="D375" s="5" t="s">
        <v>1516</v>
      </c>
      <c r="E375" s="16">
        <v>1</v>
      </c>
      <c r="F375" s="6" t="s">
        <v>896</v>
      </c>
      <c r="G375" s="10" t="s">
        <v>403</v>
      </c>
      <c r="H375" s="10" t="s">
        <v>190</v>
      </c>
      <c r="I375" s="10" t="s">
        <v>404</v>
      </c>
      <c r="J375" s="29" t="s">
        <v>1121</v>
      </c>
      <c r="K375" s="1">
        <f t="shared" si="15"/>
        <v>471</v>
      </c>
      <c r="L375" s="1" t="str">
        <f t="shared" si="16"/>
        <v>1D7</v>
      </c>
      <c r="M375" s="1" t="str">
        <f t="shared" si="17"/>
        <v>0x001D7</v>
      </c>
    </row>
    <row r="376" spans="1:13" ht="40.5" x14ac:dyDescent="0.25">
      <c r="A376" s="16" t="s">
        <v>465</v>
      </c>
      <c r="B376" s="15" t="s">
        <v>10</v>
      </c>
      <c r="C376" s="5">
        <v>473</v>
      </c>
      <c r="D376" s="5" t="s">
        <v>1517</v>
      </c>
      <c r="E376" s="16">
        <v>1</v>
      </c>
      <c r="F376" s="6" t="s">
        <v>906</v>
      </c>
      <c r="G376" s="6" t="s">
        <v>55</v>
      </c>
      <c r="H376" s="10" t="s">
        <v>56</v>
      </c>
      <c r="I376" s="10" t="s">
        <v>57</v>
      </c>
      <c r="J376" s="29" t="s">
        <v>1014</v>
      </c>
      <c r="K376" s="1">
        <f t="shared" si="15"/>
        <v>472</v>
      </c>
      <c r="L376" s="1" t="str">
        <f t="shared" si="16"/>
        <v>1D8</v>
      </c>
      <c r="M376" s="1" t="str">
        <f t="shared" si="17"/>
        <v>0x001D8</v>
      </c>
    </row>
    <row r="377" spans="1:13" ht="60.75" x14ac:dyDescent="0.25">
      <c r="A377" s="16" t="s">
        <v>466</v>
      </c>
      <c r="B377" s="15" t="s">
        <v>10</v>
      </c>
      <c r="C377" s="5">
        <v>474</v>
      </c>
      <c r="D377" s="5" t="s">
        <v>1518</v>
      </c>
      <c r="E377" s="16">
        <v>1</v>
      </c>
      <c r="F377" s="20" t="s">
        <v>903</v>
      </c>
      <c r="G377" s="10" t="s">
        <v>381</v>
      </c>
      <c r="H377" s="18">
        <v>-1.25</v>
      </c>
      <c r="I377" s="10" t="s">
        <v>382</v>
      </c>
      <c r="J377" s="29" t="s">
        <v>1120</v>
      </c>
      <c r="K377" s="1">
        <f t="shared" si="15"/>
        <v>473</v>
      </c>
      <c r="L377" s="1" t="str">
        <f t="shared" si="16"/>
        <v>1D9</v>
      </c>
      <c r="M377" s="1" t="str">
        <f t="shared" si="17"/>
        <v>0x001D9</v>
      </c>
    </row>
    <row r="378" spans="1:13" ht="40.5" x14ac:dyDescent="0.25">
      <c r="A378" s="16" t="s">
        <v>467</v>
      </c>
      <c r="B378" s="15" t="s">
        <v>10</v>
      </c>
      <c r="C378" s="5">
        <v>475</v>
      </c>
      <c r="D378" s="5" t="s">
        <v>1519</v>
      </c>
      <c r="E378" s="16">
        <v>1</v>
      </c>
      <c r="F378" s="6" t="s">
        <v>907</v>
      </c>
      <c r="G378" s="10" t="s">
        <v>237</v>
      </c>
      <c r="H378" s="6">
        <v>0</v>
      </c>
      <c r="I378" s="10" t="s">
        <v>238</v>
      </c>
      <c r="J378" s="29" t="s">
        <v>1102</v>
      </c>
      <c r="K378" s="1">
        <f t="shared" si="15"/>
        <v>474</v>
      </c>
      <c r="L378" s="1" t="str">
        <f t="shared" si="16"/>
        <v>1DA</v>
      </c>
      <c r="M378" s="1" t="str">
        <f t="shared" si="17"/>
        <v>0x001DA</v>
      </c>
    </row>
    <row r="379" spans="1:13" ht="40.5" x14ac:dyDescent="0.25">
      <c r="A379" s="16" t="s">
        <v>347</v>
      </c>
      <c r="B379" s="15" t="s">
        <v>10</v>
      </c>
      <c r="C379" s="5">
        <v>476</v>
      </c>
      <c r="D379" s="5" t="s">
        <v>1520</v>
      </c>
      <c r="E379" s="16">
        <v>1</v>
      </c>
      <c r="F379" s="16" t="s">
        <v>884</v>
      </c>
      <c r="G379" s="10" t="s">
        <v>95</v>
      </c>
      <c r="H379" s="10" t="s">
        <v>96</v>
      </c>
      <c r="I379" s="10" t="s">
        <v>997</v>
      </c>
      <c r="J379" s="29" t="s">
        <v>1123</v>
      </c>
      <c r="K379" s="1">
        <f t="shared" si="15"/>
        <v>475</v>
      </c>
      <c r="L379" s="1" t="str">
        <f t="shared" si="16"/>
        <v>1DB</v>
      </c>
      <c r="M379" s="1" t="str">
        <f t="shared" si="17"/>
        <v>0x001DB</v>
      </c>
    </row>
    <row r="380" spans="1:13" ht="40.5" x14ac:dyDescent="0.25">
      <c r="A380" s="16" t="s">
        <v>348</v>
      </c>
      <c r="B380" s="15" t="s">
        <v>10</v>
      </c>
      <c r="C380" s="5">
        <v>477</v>
      </c>
      <c r="D380" s="5" t="s">
        <v>1521</v>
      </c>
      <c r="E380" s="16">
        <v>1</v>
      </c>
      <c r="F380" s="16" t="s">
        <v>885</v>
      </c>
      <c r="G380" s="10" t="s">
        <v>237</v>
      </c>
      <c r="H380" s="10" t="s">
        <v>96</v>
      </c>
      <c r="I380" s="10" t="s">
        <v>863</v>
      </c>
      <c r="J380" s="29" t="s">
        <v>1102</v>
      </c>
      <c r="K380" s="1">
        <f t="shared" si="15"/>
        <v>476</v>
      </c>
      <c r="L380" s="1" t="str">
        <f t="shared" si="16"/>
        <v>1DC</v>
      </c>
      <c r="M380" s="1" t="str">
        <f t="shared" si="17"/>
        <v>0x001DC</v>
      </c>
    </row>
    <row r="381" spans="1:13" ht="51" x14ac:dyDescent="0.25">
      <c r="A381" s="16" t="s">
        <v>349</v>
      </c>
      <c r="B381" s="15" t="s">
        <v>10</v>
      </c>
      <c r="C381" s="5">
        <v>478</v>
      </c>
      <c r="D381" s="5" t="s">
        <v>1522</v>
      </c>
      <c r="E381" s="16">
        <v>1</v>
      </c>
      <c r="F381" s="16" t="s">
        <v>886</v>
      </c>
      <c r="G381" s="10" t="s">
        <v>269</v>
      </c>
      <c r="H381" s="10" t="s">
        <v>177</v>
      </c>
      <c r="I381" s="10" t="s">
        <v>270</v>
      </c>
      <c r="J381" s="29" t="s">
        <v>268</v>
      </c>
      <c r="K381" s="1">
        <f t="shared" si="15"/>
        <v>477</v>
      </c>
      <c r="L381" s="1" t="str">
        <f t="shared" si="16"/>
        <v>1DD</v>
      </c>
      <c r="M381" s="1" t="str">
        <f t="shared" si="17"/>
        <v>0x001DD</v>
      </c>
    </row>
    <row r="382" spans="1:13" ht="40.5" x14ac:dyDescent="0.25">
      <c r="A382" s="16" t="s">
        <v>350</v>
      </c>
      <c r="B382" s="15" t="s">
        <v>10</v>
      </c>
      <c r="C382" s="5">
        <v>479</v>
      </c>
      <c r="D382" s="5" t="s">
        <v>1523</v>
      </c>
      <c r="E382" s="16">
        <v>1</v>
      </c>
      <c r="F382" s="16" t="s">
        <v>887</v>
      </c>
      <c r="G382" s="10" t="s">
        <v>237</v>
      </c>
      <c r="H382" s="10" t="s">
        <v>96</v>
      </c>
      <c r="I382" s="10" t="s">
        <v>863</v>
      </c>
      <c r="J382" s="29" t="s">
        <v>1102</v>
      </c>
      <c r="K382" s="1">
        <f t="shared" si="15"/>
        <v>478</v>
      </c>
      <c r="L382" s="1" t="str">
        <f t="shared" si="16"/>
        <v>1DE</v>
      </c>
      <c r="M382" s="1" t="str">
        <f t="shared" si="17"/>
        <v>0x001DE</v>
      </c>
    </row>
    <row r="383" spans="1:13" ht="51" x14ac:dyDescent="0.25">
      <c r="A383" s="16" t="s">
        <v>351</v>
      </c>
      <c r="B383" s="15" t="s">
        <v>10</v>
      </c>
      <c r="C383" s="5">
        <v>480</v>
      </c>
      <c r="D383" s="5" t="s">
        <v>1524</v>
      </c>
      <c r="E383" s="16">
        <v>1</v>
      </c>
      <c r="F383" s="16" t="s">
        <v>888</v>
      </c>
      <c r="G383" s="10" t="s">
        <v>269</v>
      </c>
      <c r="H383" s="10" t="s">
        <v>177</v>
      </c>
      <c r="I383" s="10" t="s">
        <v>270</v>
      </c>
      <c r="J383" s="29" t="s">
        <v>268</v>
      </c>
      <c r="K383" s="1">
        <f t="shared" si="15"/>
        <v>479</v>
      </c>
      <c r="L383" s="1" t="str">
        <f t="shared" si="16"/>
        <v>1DF</v>
      </c>
      <c r="M383" s="1" t="str">
        <f t="shared" si="17"/>
        <v>0x001DF</v>
      </c>
    </row>
    <row r="384" spans="1:13" ht="81" x14ac:dyDescent="0.25">
      <c r="A384" s="16" t="s">
        <v>352</v>
      </c>
      <c r="B384" s="15" t="s">
        <v>10</v>
      </c>
      <c r="C384" s="5">
        <v>481</v>
      </c>
      <c r="D384" s="5" t="s">
        <v>1525</v>
      </c>
      <c r="E384" s="16">
        <v>1</v>
      </c>
      <c r="F384" s="16" t="s">
        <v>889</v>
      </c>
      <c r="G384" s="10" t="s">
        <v>269</v>
      </c>
      <c r="H384" s="10" t="s">
        <v>177</v>
      </c>
      <c r="I384" s="10" t="s">
        <v>270</v>
      </c>
      <c r="J384" s="29" t="s">
        <v>268</v>
      </c>
      <c r="K384" s="1">
        <f t="shared" si="15"/>
        <v>480</v>
      </c>
      <c r="L384" s="1" t="str">
        <f t="shared" si="16"/>
        <v>1E0</v>
      </c>
      <c r="M384" s="1" t="str">
        <f t="shared" si="17"/>
        <v>0x001E0</v>
      </c>
    </row>
    <row r="385" spans="1:13" x14ac:dyDescent="0.25">
      <c r="A385" s="16" t="s">
        <v>468</v>
      </c>
      <c r="B385" s="15" t="s">
        <v>10</v>
      </c>
      <c r="C385" s="5">
        <v>482</v>
      </c>
      <c r="D385" s="5" t="s">
        <v>1526</v>
      </c>
      <c r="E385" s="16">
        <v>1</v>
      </c>
      <c r="F385" s="16" t="s">
        <v>908</v>
      </c>
      <c r="G385" s="10" t="s">
        <v>403</v>
      </c>
      <c r="H385" s="10" t="s">
        <v>190</v>
      </c>
      <c r="I385" s="10" t="s">
        <v>404</v>
      </c>
      <c r="J385" s="29" t="s">
        <v>1121</v>
      </c>
      <c r="K385" s="1">
        <f t="shared" si="15"/>
        <v>481</v>
      </c>
      <c r="L385" s="1" t="str">
        <f t="shared" si="16"/>
        <v>1E1</v>
      </c>
      <c r="M385" s="1" t="str">
        <f t="shared" si="17"/>
        <v>0x001E1</v>
      </c>
    </row>
    <row r="386" spans="1:13" ht="60.75" x14ac:dyDescent="0.25">
      <c r="A386" s="16" t="s">
        <v>469</v>
      </c>
      <c r="B386" s="15" t="s">
        <v>10</v>
      </c>
      <c r="C386" s="16">
        <v>700</v>
      </c>
      <c r="D386" s="5" t="s">
        <v>1527</v>
      </c>
      <c r="E386" s="16">
        <v>1</v>
      </c>
      <c r="F386" s="6" t="s">
        <v>782</v>
      </c>
      <c r="G386" s="6" t="s">
        <v>470</v>
      </c>
      <c r="H386" s="6"/>
      <c r="I386" s="6"/>
      <c r="J386" s="29" t="s">
        <v>1124</v>
      </c>
      <c r="K386" s="1">
        <f t="shared" si="15"/>
        <v>699</v>
      </c>
      <c r="L386" s="1" t="str">
        <f t="shared" si="16"/>
        <v>2BB</v>
      </c>
      <c r="M386" s="1" t="str">
        <f t="shared" si="17"/>
        <v>0x002BB</v>
      </c>
    </row>
    <row r="387" spans="1:13" ht="60.75" x14ac:dyDescent="0.25">
      <c r="A387" s="16" t="s">
        <v>471</v>
      </c>
      <c r="B387" s="15" t="s">
        <v>10</v>
      </c>
      <c r="C387" s="16">
        <v>701</v>
      </c>
      <c r="D387" s="5" t="s">
        <v>1528</v>
      </c>
      <c r="E387" s="16">
        <v>1</v>
      </c>
      <c r="F387" s="6" t="s">
        <v>782</v>
      </c>
      <c r="G387" s="6" t="s">
        <v>470</v>
      </c>
      <c r="H387" s="6"/>
      <c r="I387" s="6"/>
      <c r="J387" s="29" t="s">
        <v>1124</v>
      </c>
      <c r="K387" s="1">
        <f t="shared" si="15"/>
        <v>700</v>
      </c>
      <c r="L387" s="1" t="str">
        <f t="shared" si="16"/>
        <v>2BC</v>
      </c>
      <c r="M387" s="1" t="str">
        <f t="shared" si="17"/>
        <v>0x002BC</v>
      </c>
    </row>
    <row r="388" spans="1:13" x14ac:dyDescent="0.25">
      <c r="A388" s="16" t="s">
        <v>1059</v>
      </c>
      <c r="B388" s="15" t="s">
        <v>10</v>
      </c>
      <c r="C388" s="16">
        <v>702</v>
      </c>
      <c r="D388" s="5" t="s">
        <v>1529</v>
      </c>
      <c r="E388" s="16">
        <v>1</v>
      </c>
      <c r="F388" s="16" t="s">
        <v>991</v>
      </c>
      <c r="G388" s="10" t="s">
        <v>237</v>
      </c>
      <c r="H388" s="6">
        <v>0</v>
      </c>
      <c r="I388" s="10" t="s">
        <v>238</v>
      </c>
      <c r="J388" s="29" t="s">
        <v>1102</v>
      </c>
      <c r="K388" s="1">
        <f t="shared" si="15"/>
        <v>701</v>
      </c>
      <c r="L388" s="1" t="str">
        <f t="shared" si="16"/>
        <v>2BD</v>
      </c>
      <c r="M388" s="1" t="str">
        <f t="shared" si="17"/>
        <v>0x002BD</v>
      </c>
    </row>
    <row r="389" spans="1:13" x14ac:dyDescent="0.25">
      <c r="A389" s="16" t="s">
        <v>1060</v>
      </c>
      <c r="B389" s="15" t="s">
        <v>10</v>
      </c>
      <c r="C389" s="16">
        <v>703</v>
      </c>
      <c r="D389" s="5" t="s">
        <v>1530</v>
      </c>
      <c r="E389" s="16">
        <v>1</v>
      </c>
      <c r="F389" s="16" t="s">
        <v>992</v>
      </c>
      <c r="G389" s="10" t="s">
        <v>237</v>
      </c>
      <c r="H389" s="6">
        <v>0</v>
      </c>
      <c r="I389" s="10" t="s">
        <v>238</v>
      </c>
      <c r="J389" s="29" t="s">
        <v>1102</v>
      </c>
      <c r="K389" s="1">
        <f t="shared" si="15"/>
        <v>702</v>
      </c>
      <c r="L389" s="1" t="str">
        <f t="shared" si="16"/>
        <v>2BE</v>
      </c>
      <c r="M389" s="1" t="str">
        <f t="shared" si="17"/>
        <v>0x002BE</v>
      </c>
    </row>
    <row r="390" spans="1:13" x14ac:dyDescent="0.25">
      <c r="A390" s="16" t="s">
        <v>1061</v>
      </c>
      <c r="B390" s="15" t="s">
        <v>10</v>
      </c>
      <c r="C390" s="16">
        <v>704</v>
      </c>
      <c r="D390" s="5" t="s">
        <v>1531</v>
      </c>
      <c r="E390" s="16">
        <v>1</v>
      </c>
      <c r="F390" s="16" t="s">
        <v>993</v>
      </c>
      <c r="G390" s="10" t="s">
        <v>237</v>
      </c>
      <c r="H390" s="6">
        <v>0</v>
      </c>
      <c r="I390" s="10" t="s">
        <v>238</v>
      </c>
      <c r="J390" s="29" t="s">
        <v>1102</v>
      </c>
      <c r="K390" s="1">
        <f t="shared" si="15"/>
        <v>703</v>
      </c>
      <c r="L390" s="1" t="str">
        <f t="shared" si="16"/>
        <v>2BF</v>
      </c>
      <c r="M390" s="1" t="str">
        <f t="shared" si="17"/>
        <v>0x002BF</v>
      </c>
    </row>
    <row r="391" spans="1:13" ht="40.5" x14ac:dyDescent="0.25">
      <c r="A391" s="16" t="s">
        <v>1062</v>
      </c>
      <c r="B391" s="15" t="s">
        <v>10</v>
      </c>
      <c r="C391" s="16">
        <v>705</v>
      </c>
      <c r="D391" s="5" t="s">
        <v>1532</v>
      </c>
      <c r="E391" s="16">
        <v>1</v>
      </c>
      <c r="F391" s="16" t="s">
        <v>994</v>
      </c>
      <c r="G391" s="10" t="s">
        <v>237</v>
      </c>
      <c r="H391" s="6">
        <v>0</v>
      </c>
      <c r="I391" s="10" t="s">
        <v>238</v>
      </c>
      <c r="J391" s="29" t="s">
        <v>1102</v>
      </c>
      <c r="K391" s="1">
        <f t="shared" ref="K391:K454" si="18">C391-1</f>
        <v>704</v>
      </c>
      <c r="L391" s="1" t="str">
        <f t="shared" ref="L391:L454" si="19">DEC2HEX(K391)</f>
        <v>2C0</v>
      </c>
      <c r="M391" s="1" t="str">
        <f t="shared" ref="M391:M454" si="20">_xlfn.CONCAT("0x00", L391)</f>
        <v>0x002C0</v>
      </c>
    </row>
    <row r="392" spans="1:13" ht="162" x14ac:dyDescent="0.25">
      <c r="A392" s="16" t="s">
        <v>472</v>
      </c>
      <c r="B392" s="15" t="s">
        <v>10</v>
      </c>
      <c r="C392" s="16">
        <v>706</v>
      </c>
      <c r="D392" s="5" t="s">
        <v>1533</v>
      </c>
      <c r="E392" s="16">
        <v>28</v>
      </c>
      <c r="F392" s="16" t="s">
        <v>914</v>
      </c>
      <c r="G392" s="6" t="s">
        <v>473</v>
      </c>
      <c r="H392" s="6"/>
      <c r="I392" s="6"/>
      <c r="J392" s="29" t="s">
        <v>1125</v>
      </c>
      <c r="K392" s="1">
        <f t="shared" si="18"/>
        <v>705</v>
      </c>
      <c r="L392" s="1" t="str">
        <f t="shared" si="19"/>
        <v>2C1</v>
      </c>
      <c r="M392" s="1" t="str">
        <f t="shared" si="20"/>
        <v>0x002C1</v>
      </c>
    </row>
    <row r="393" spans="1:13" ht="162" x14ac:dyDescent="0.25">
      <c r="A393" s="16" t="s">
        <v>474</v>
      </c>
      <c r="B393" s="15" t="s">
        <v>10</v>
      </c>
      <c r="C393" s="16">
        <v>734</v>
      </c>
      <c r="D393" s="5" t="s">
        <v>1534</v>
      </c>
      <c r="E393" s="16">
        <v>28</v>
      </c>
      <c r="F393" s="16" t="s">
        <v>912</v>
      </c>
      <c r="G393" s="6" t="s">
        <v>473</v>
      </c>
      <c r="H393" s="6"/>
      <c r="I393" s="6"/>
      <c r="J393" s="29" t="s">
        <v>1125</v>
      </c>
      <c r="K393" s="1">
        <f t="shared" si="18"/>
        <v>733</v>
      </c>
      <c r="L393" s="1" t="str">
        <f t="shared" si="19"/>
        <v>2DD</v>
      </c>
      <c r="M393" s="1" t="str">
        <f t="shared" si="20"/>
        <v>0x002DD</v>
      </c>
    </row>
    <row r="394" spans="1:13" ht="162" x14ac:dyDescent="0.25">
      <c r="A394" s="16" t="s">
        <v>475</v>
      </c>
      <c r="B394" s="15" t="s">
        <v>10</v>
      </c>
      <c r="C394" s="16">
        <v>762</v>
      </c>
      <c r="D394" s="5" t="s">
        <v>1535</v>
      </c>
      <c r="E394" s="16">
        <v>28</v>
      </c>
      <c r="F394" s="16" t="s">
        <v>915</v>
      </c>
      <c r="G394" s="6" t="s">
        <v>473</v>
      </c>
      <c r="H394" s="6"/>
      <c r="I394" s="6"/>
      <c r="J394" s="29" t="s">
        <v>1125</v>
      </c>
      <c r="K394" s="1">
        <f t="shared" si="18"/>
        <v>761</v>
      </c>
      <c r="L394" s="1" t="str">
        <f t="shared" si="19"/>
        <v>2F9</v>
      </c>
      <c r="M394" s="1" t="str">
        <f t="shared" si="20"/>
        <v>0x002F9</v>
      </c>
    </row>
    <row r="395" spans="1:13" ht="162" x14ac:dyDescent="0.25">
      <c r="A395" s="16" t="s">
        <v>476</v>
      </c>
      <c r="B395" s="15" t="s">
        <v>10</v>
      </c>
      <c r="C395" s="16">
        <v>790</v>
      </c>
      <c r="D395" s="5" t="s">
        <v>1536</v>
      </c>
      <c r="E395" s="16">
        <v>28</v>
      </c>
      <c r="F395" s="16" t="s">
        <v>913</v>
      </c>
      <c r="G395" s="6" t="s">
        <v>473</v>
      </c>
      <c r="H395" s="6"/>
      <c r="I395" s="6"/>
      <c r="J395" s="29" t="s">
        <v>1125</v>
      </c>
      <c r="K395" s="1">
        <f t="shared" si="18"/>
        <v>789</v>
      </c>
      <c r="L395" s="1" t="str">
        <f t="shared" si="19"/>
        <v>315</v>
      </c>
      <c r="M395" s="1" t="str">
        <f t="shared" si="20"/>
        <v>0x00315</v>
      </c>
    </row>
    <row r="396" spans="1:13" ht="162" x14ac:dyDescent="0.25">
      <c r="A396" s="16" t="s">
        <v>477</v>
      </c>
      <c r="B396" s="15" t="s">
        <v>10</v>
      </c>
      <c r="C396" s="16">
        <v>818</v>
      </c>
      <c r="D396" s="5" t="s">
        <v>1537</v>
      </c>
      <c r="E396" s="16">
        <v>28</v>
      </c>
      <c r="F396" s="16" t="s">
        <v>916</v>
      </c>
      <c r="G396" s="6" t="s">
        <v>473</v>
      </c>
      <c r="H396" s="6"/>
      <c r="I396" s="6"/>
      <c r="J396" s="29" t="s">
        <v>1125</v>
      </c>
      <c r="K396" s="1">
        <f t="shared" si="18"/>
        <v>817</v>
      </c>
      <c r="L396" s="1" t="str">
        <f t="shared" si="19"/>
        <v>331</v>
      </c>
      <c r="M396" s="1" t="str">
        <f t="shared" si="20"/>
        <v>0x00331</v>
      </c>
    </row>
    <row r="397" spans="1:13" ht="162" x14ac:dyDescent="0.25">
      <c r="A397" s="16" t="s">
        <v>478</v>
      </c>
      <c r="B397" s="15" t="s">
        <v>10</v>
      </c>
      <c r="C397" s="16">
        <v>846</v>
      </c>
      <c r="D397" s="5" t="s">
        <v>1538</v>
      </c>
      <c r="E397" s="16">
        <v>28</v>
      </c>
      <c r="F397" s="16" t="s">
        <v>917</v>
      </c>
      <c r="G397" s="6" t="s">
        <v>473</v>
      </c>
      <c r="H397" s="6"/>
      <c r="I397" s="6"/>
      <c r="J397" s="29" t="s">
        <v>1125</v>
      </c>
      <c r="K397" s="1">
        <f t="shared" si="18"/>
        <v>845</v>
      </c>
      <c r="L397" s="1" t="str">
        <f t="shared" si="19"/>
        <v>34D</v>
      </c>
      <c r="M397" s="1" t="str">
        <f t="shared" si="20"/>
        <v>0x0034D</v>
      </c>
    </row>
    <row r="398" spans="1:13" ht="162" x14ac:dyDescent="0.25">
      <c r="A398" s="16" t="s">
        <v>479</v>
      </c>
      <c r="B398" s="15" t="s">
        <v>10</v>
      </c>
      <c r="C398" s="16">
        <v>874</v>
      </c>
      <c r="D398" s="5" t="s">
        <v>1539</v>
      </c>
      <c r="E398" s="16">
        <v>28</v>
      </c>
      <c r="F398" s="16" t="s">
        <v>918</v>
      </c>
      <c r="G398" s="6" t="s">
        <v>473</v>
      </c>
      <c r="H398" s="6"/>
      <c r="I398" s="6"/>
      <c r="J398" s="29" t="s">
        <v>1125</v>
      </c>
      <c r="K398" s="1">
        <f t="shared" si="18"/>
        <v>873</v>
      </c>
      <c r="L398" s="1" t="str">
        <f t="shared" si="19"/>
        <v>369</v>
      </c>
      <c r="M398" s="1" t="str">
        <f t="shared" si="20"/>
        <v>0x00369</v>
      </c>
    </row>
    <row r="399" spans="1:13" ht="162" x14ac:dyDescent="0.25">
      <c r="A399" s="16" t="s">
        <v>480</v>
      </c>
      <c r="B399" s="15" t="s">
        <v>10</v>
      </c>
      <c r="C399" s="16">
        <v>902</v>
      </c>
      <c r="D399" s="5" t="s">
        <v>1540</v>
      </c>
      <c r="E399" s="16">
        <v>28</v>
      </c>
      <c r="F399" s="16" t="s">
        <v>919</v>
      </c>
      <c r="G399" s="6" t="s">
        <v>473</v>
      </c>
      <c r="H399" s="6"/>
      <c r="I399" s="6"/>
      <c r="J399" s="29" t="s">
        <v>1125</v>
      </c>
      <c r="K399" s="1">
        <f t="shared" si="18"/>
        <v>901</v>
      </c>
      <c r="L399" s="1" t="str">
        <f t="shared" si="19"/>
        <v>385</v>
      </c>
      <c r="M399" s="1" t="str">
        <f t="shared" si="20"/>
        <v>0x00385</v>
      </c>
    </row>
    <row r="400" spans="1:13" ht="40.5" x14ac:dyDescent="0.25">
      <c r="A400" s="16" t="s">
        <v>1063</v>
      </c>
      <c r="B400" s="15" t="s">
        <v>10</v>
      </c>
      <c r="C400" s="16">
        <v>930</v>
      </c>
      <c r="D400" s="5" t="s">
        <v>1541</v>
      </c>
      <c r="E400" s="16">
        <v>1</v>
      </c>
      <c r="F400" s="16" t="s">
        <v>921</v>
      </c>
      <c r="G400" s="6" t="s">
        <v>920</v>
      </c>
      <c r="H400" s="6"/>
      <c r="I400" s="6"/>
      <c r="J400" s="29" t="s">
        <v>1004</v>
      </c>
      <c r="K400" s="1">
        <f t="shared" si="18"/>
        <v>929</v>
      </c>
      <c r="L400" s="1" t="str">
        <f t="shared" si="19"/>
        <v>3A1</v>
      </c>
      <c r="M400" s="1" t="str">
        <f t="shared" si="20"/>
        <v>0x003A1</v>
      </c>
    </row>
    <row r="401" spans="1:13" ht="40.5" x14ac:dyDescent="0.25">
      <c r="A401" s="16" t="s">
        <v>1064</v>
      </c>
      <c r="B401" s="15" t="s">
        <v>10</v>
      </c>
      <c r="C401" s="16">
        <v>931</v>
      </c>
      <c r="D401" s="5" t="s">
        <v>1542</v>
      </c>
      <c r="E401" s="16">
        <v>1</v>
      </c>
      <c r="F401" s="16" t="s">
        <v>922</v>
      </c>
      <c r="G401" s="6" t="s">
        <v>920</v>
      </c>
      <c r="H401" s="6"/>
      <c r="I401" s="6"/>
      <c r="J401" s="29" t="s">
        <v>1004</v>
      </c>
      <c r="K401" s="1">
        <f t="shared" si="18"/>
        <v>930</v>
      </c>
      <c r="L401" s="1" t="str">
        <f t="shared" si="19"/>
        <v>3A2</v>
      </c>
      <c r="M401" s="1" t="str">
        <f t="shared" si="20"/>
        <v>0x003A2</v>
      </c>
    </row>
    <row r="402" spans="1:13" ht="40.5" x14ac:dyDescent="0.25">
      <c r="A402" s="16" t="s">
        <v>481</v>
      </c>
      <c r="B402" s="15" t="s">
        <v>10</v>
      </c>
      <c r="C402" s="16">
        <v>932</v>
      </c>
      <c r="D402" s="5" t="s">
        <v>1543</v>
      </c>
      <c r="E402" s="16">
        <v>1</v>
      </c>
      <c r="F402" s="16" t="s">
        <v>923</v>
      </c>
      <c r="G402" s="6" t="s">
        <v>920</v>
      </c>
      <c r="H402" s="6"/>
      <c r="I402" s="6"/>
      <c r="J402" s="29" t="s">
        <v>1004</v>
      </c>
      <c r="K402" s="1">
        <f t="shared" si="18"/>
        <v>931</v>
      </c>
      <c r="L402" s="1" t="str">
        <f t="shared" si="19"/>
        <v>3A3</v>
      </c>
      <c r="M402" s="1" t="str">
        <f t="shared" si="20"/>
        <v>0x003A3</v>
      </c>
    </row>
    <row r="403" spans="1:13" ht="40.5" x14ac:dyDescent="0.25">
      <c r="A403" s="16" t="s">
        <v>482</v>
      </c>
      <c r="B403" s="15" t="s">
        <v>10</v>
      </c>
      <c r="C403" s="16">
        <v>933</v>
      </c>
      <c r="D403" s="5" t="s">
        <v>1544</v>
      </c>
      <c r="E403" s="16">
        <v>1</v>
      </c>
      <c r="F403" s="16" t="s">
        <v>924</v>
      </c>
      <c r="G403" s="6" t="s">
        <v>920</v>
      </c>
      <c r="H403" s="6"/>
      <c r="I403" s="6"/>
      <c r="J403" s="29" t="s">
        <v>1004</v>
      </c>
      <c r="K403" s="1">
        <f t="shared" si="18"/>
        <v>932</v>
      </c>
      <c r="L403" s="1" t="str">
        <f t="shared" si="19"/>
        <v>3A4</v>
      </c>
      <c r="M403" s="1" t="str">
        <f t="shared" si="20"/>
        <v>0x003A4</v>
      </c>
    </row>
    <row r="404" spans="1:13" ht="40.5" x14ac:dyDescent="0.25">
      <c r="A404" s="16" t="s">
        <v>483</v>
      </c>
      <c r="B404" s="15" t="s">
        <v>10</v>
      </c>
      <c r="C404" s="16">
        <v>934</v>
      </c>
      <c r="D404" s="5" t="s">
        <v>1545</v>
      </c>
      <c r="E404" s="16">
        <v>1</v>
      </c>
      <c r="F404" s="16" t="s">
        <v>925</v>
      </c>
      <c r="G404" s="6" t="s">
        <v>920</v>
      </c>
      <c r="H404" s="6"/>
      <c r="I404" s="6"/>
      <c r="J404" s="29" t="s">
        <v>1004</v>
      </c>
      <c r="K404" s="1">
        <f t="shared" si="18"/>
        <v>933</v>
      </c>
      <c r="L404" s="1" t="str">
        <f t="shared" si="19"/>
        <v>3A5</v>
      </c>
      <c r="M404" s="1" t="str">
        <f t="shared" si="20"/>
        <v>0x003A5</v>
      </c>
    </row>
    <row r="405" spans="1:13" ht="40.5" x14ac:dyDescent="0.25">
      <c r="A405" s="16" t="s">
        <v>484</v>
      </c>
      <c r="B405" s="15" t="s">
        <v>10</v>
      </c>
      <c r="C405" s="16">
        <v>935</v>
      </c>
      <c r="D405" s="5" t="s">
        <v>1546</v>
      </c>
      <c r="E405" s="16">
        <v>1</v>
      </c>
      <c r="F405" s="16" t="s">
        <v>926</v>
      </c>
      <c r="G405" s="6" t="s">
        <v>920</v>
      </c>
      <c r="H405" s="6"/>
      <c r="I405" s="6"/>
      <c r="J405" s="29" t="s">
        <v>1004</v>
      </c>
      <c r="K405" s="1">
        <f t="shared" si="18"/>
        <v>934</v>
      </c>
      <c r="L405" s="1" t="str">
        <f t="shared" si="19"/>
        <v>3A6</v>
      </c>
      <c r="M405" s="1" t="str">
        <f t="shared" si="20"/>
        <v>0x003A6</v>
      </c>
    </row>
    <row r="406" spans="1:13" ht="40.5" x14ac:dyDescent="0.25">
      <c r="A406" s="16" t="s">
        <v>485</v>
      </c>
      <c r="B406" s="15" t="s">
        <v>10</v>
      </c>
      <c r="C406" s="16">
        <v>936</v>
      </c>
      <c r="D406" s="5" t="s">
        <v>1547</v>
      </c>
      <c r="E406" s="16">
        <v>1</v>
      </c>
      <c r="F406" s="16" t="s">
        <v>485</v>
      </c>
      <c r="G406" s="6" t="s">
        <v>920</v>
      </c>
      <c r="H406" s="6"/>
      <c r="I406" s="6"/>
      <c r="J406" s="29" t="s">
        <v>1124</v>
      </c>
      <c r="K406" s="1">
        <f t="shared" si="18"/>
        <v>935</v>
      </c>
      <c r="L406" s="1" t="str">
        <f t="shared" si="19"/>
        <v>3A7</v>
      </c>
      <c r="M406" s="1" t="str">
        <f t="shared" si="20"/>
        <v>0x003A7</v>
      </c>
    </row>
    <row r="407" spans="1:13" ht="81" x14ac:dyDescent="0.25">
      <c r="A407" s="16" t="s">
        <v>1065</v>
      </c>
      <c r="B407" s="15" t="s">
        <v>10</v>
      </c>
      <c r="C407" s="16">
        <v>939</v>
      </c>
      <c r="D407" s="5" t="s">
        <v>1548</v>
      </c>
      <c r="E407" s="16">
        <v>1</v>
      </c>
      <c r="F407" s="6" t="s">
        <v>647</v>
      </c>
      <c r="G407" s="6" t="s">
        <v>17</v>
      </c>
      <c r="H407" s="10"/>
      <c r="I407" s="10"/>
      <c r="J407" s="30" t="s">
        <v>1004</v>
      </c>
      <c r="K407" s="1">
        <f t="shared" si="18"/>
        <v>938</v>
      </c>
      <c r="L407" s="1" t="str">
        <f t="shared" si="19"/>
        <v>3AA</v>
      </c>
      <c r="M407" s="1" t="str">
        <f t="shared" si="20"/>
        <v>0x003AA</v>
      </c>
    </row>
    <row r="408" spans="1:13" ht="81" x14ac:dyDescent="0.25">
      <c r="A408" s="16" t="s">
        <v>486</v>
      </c>
      <c r="B408" s="15" t="s">
        <v>10</v>
      </c>
      <c r="C408" s="16">
        <v>940</v>
      </c>
      <c r="D408" s="5" t="s">
        <v>1549</v>
      </c>
      <c r="E408" s="15">
        <v>1</v>
      </c>
      <c r="F408" s="16" t="s">
        <v>927</v>
      </c>
      <c r="G408" s="6" t="s">
        <v>17</v>
      </c>
      <c r="H408" s="10"/>
      <c r="I408" s="10"/>
      <c r="J408" s="29" t="s">
        <v>1004</v>
      </c>
      <c r="K408" s="1">
        <f t="shared" si="18"/>
        <v>939</v>
      </c>
      <c r="L408" s="1" t="str">
        <f t="shared" si="19"/>
        <v>3AB</v>
      </c>
      <c r="M408" s="1" t="str">
        <f t="shared" si="20"/>
        <v>0x003AB</v>
      </c>
    </row>
    <row r="409" spans="1:13" ht="81" x14ac:dyDescent="0.25">
      <c r="A409" s="15" t="s">
        <v>1066</v>
      </c>
      <c r="B409" s="15" t="s">
        <v>10</v>
      </c>
      <c r="C409" s="16">
        <v>950</v>
      </c>
      <c r="D409" s="5" t="s">
        <v>1550</v>
      </c>
      <c r="E409" s="15">
        <v>1</v>
      </c>
      <c r="F409" s="16" t="s">
        <v>929</v>
      </c>
      <c r="G409" s="10" t="s">
        <v>928</v>
      </c>
      <c r="H409" s="10"/>
      <c r="I409" s="10"/>
      <c r="J409" s="29" t="s">
        <v>1126</v>
      </c>
      <c r="K409" s="1">
        <f t="shared" si="18"/>
        <v>949</v>
      </c>
      <c r="L409" s="1" t="str">
        <f t="shared" si="19"/>
        <v>3B5</v>
      </c>
      <c r="M409" s="1" t="str">
        <f t="shared" si="20"/>
        <v>0x003B5</v>
      </c>
    </row>
    <row r="410" spans="1:13" ht="40.5" x14ac:dyDescent="0.25">
      <c r="A410" s="15" t="s">
        <v>488</v>
      </c>
      <c r="B410" s="15" t="s">
        <v>10</v>
      </c>
      <c r="C410" s="16">
        <v>951</v>
      </c>
      <c r="D410" s="5" t="s">
        <v>1551</v>
      </c>
      <c r="E410" s="15">
        <v>5</v>
      </c>
      <c r="F410" s="6" t="s">
        <v>930</v>
      </c>
      <c r="G410" s="6" t="s">
        <v>489</v>
      </c>
      <c r="H410" s="6"/>
      <c r="I410" s="6"/>
      <c r="J410" s="29" t="s">
        <v>1127</v>
      </c>
      <c r="K410" s="1">
        <f t="shared" si="18"/>
        <v>950</v>
      </c>
      <c r="L410" s="1" t="str">
        <f t="shared" si="19"/>
        <v>3B6</v>
      </c>
      <c r="M410" s="1" t="str">
        <f t="shared" si="20"/>
        <v>0x003B6</v>
      </c>
    </row>
    <row r="411" spans="1:13" ht="40.5" x14ac:dyDescent="0.25">
      <c r="A411" s="15" t="s">
        <v>490</v>
      </c>
      <c r="B411" s="15" t="s">
        <v>10</v>
      </c>
      <c r="C411" s="16">
        <v>956</v>
      </c>
      <c r="D411" s="5" t="s">
        <v>1552</v>
      </c>
      <c r="E411" s="15">
        <v>13</v>
      </c>
      <c r="F411" s="16" t="s">
        <v>931</v>
      </c>
      <c r="G411" s="6" t="s">
        <v>489</v>
      </c>
      <c r="H411" s="6"/>
      <c r="I411" s="6"/>
      <c r="J411" s="29" t="s">
        <v>1127</v>
      </c>
      <c r="K411" s="1">
        <f t="shared" si="18"/>
        <v>955</v>
      </c>
      <c r="L411" s="1" t="str">
        <f t="shared" si="19"/>
        <v>3BB</v>
      </c>
      <c r="M411" s="1" t="str">
        <f t="shared" si="20"/>
        <v>0x003BB</v>
      </c>
    </row>
    <row r="412" spans="1:13" ht="40.5" x14ac:dyDescent="0.25">
      <c r="A412" s="15" t="s">
        <v>491</v>
      </c>
      <c r="B412" s="15" t="s">
        <v>10</v>
      </c>
      <c r="C412" s="16">
        <v>969</v>
      </c>
      <c r="D412" s="5" t="s">
        <v>1553</v>
      </c>
      <c r="E412" s="15">
        <v>5</v>
      </c>
      <c r="F412" s="16" t="s">
        <v>932</v>
      </c>
      <c r="G412" s="6" t="s">
        <v>489</v>
      </c>
      <c r="H412" s="6"/>
      <c r="I412" s="6"/>
      <c r="J412" s="29" t="s">
        <v>1127</v>
      </c>
      <c r="K412" s="1">
        <f t="shared" si="18"/>
        <v>968</v>
      </c>
      <c r="L412" s="1" t="str">
        <f t="shared" si="19"/>
        <v>3C8</v>
      </c>
      <c r="M412" s="1" t="str">
        <f t="shared" si="20"/>
        <v>0x003C8</v>
      </c>
    </row>
    <row r="413" spans="1:13" ht="40.5" x14ac:dyDescent="0.25">
      <c r="A413" s="15" t="s">
        <v>492</v>
      </c>
      <c r="B413" s="15" t="s">
        <v>10</v>
      </c>
      <c r="C413" s="16">
        <v>974</v>
      </c>
      <c r="D413" s="5" t="s">
        <v>1554</v>
      </c>
      <c r="E413" s="15">
        <v>8</v>
      </c>
      <c r="F413" s="16" t="s">
        <v>933</v>
      </c>
      <c r="G413" s="6" t="s">
        <v>489</v>
      </c>
      <c r="H413" s="6"/>
      <c r="I413" s="6"/>
      <c r="J413" s="29" t="s">
        <v>1127</v>
      </c>
      <c r="K413" s="1">
        <f t="shared" si="18"/>
        <v>973</v>
      </c>
      <c r="L413" s="1" t="str">
        <f t="shared" si="19"/>
        <v>3CD</v>
      </c>
      <c r="M413" s="1" t="str">
        <f t="shared" si="20"/>
        <v>0x003CD</v>
      </c>
    </row>
    <row r="414" spans="1:13" ht="40.5" x14ac:dyDescent="0.25">
      <c r="A414" s="15" t="s">
        <v>1067</v>
      </c>
      <c r="B414" s="15" t="s">
        <v>10</v>
      </c>
      <c r="C414" s="16">
        <v>982</v>
      </c>
      <c r="D414" s="5" t="s">
        <v>1555</v>
      </c>
      <c r="E414" s="15">
        <v>1</v>
      </c>
      <c r="F414" s="15" t="s">
        <v>1699</v>
      </c>
      <c r="G414" s="6" t="s">
        <v>176</v>
      </c>
      <c r="H414" s="6" t="s">
        <v>177</v>
      </c>
      <c r="I414" s="6" t="s">
        <v>208</v>
      </c>
      <c r="J414" s="29" t="s">
        <v>1126</v>
      </c>
      <c r="K414" s="1">
        <f t="shared" si="18"/>
        <v>981</v>
      </c>
      <c r="L414" s="1" t="str">
        <f t="shared" si="19"/>
        <v>3D5</v>
      </c>
      <c r="M414" s="1" t="str">
        <f t="shared" si="20"/>
        <v>0x003D5</v>
      </c>
    </row>
    <row r="415" spans="1:13" x14ac:dyDescent="0.25">
      <c r="A415" s="15" t="s">
        <v>493</v>
      </c>
      <c r="B415" s="15" t="s">
        <v>10</v>
      </c>
      <c r="C415" s="16">
        <v>983</v>
      </c>
      <c r="D415" s="5" t="s">
        <v>1556</v>
      </c>
      <c r="E415" s="15">
        <v>9</v>
      </c>
      <c r="F415" s="6" t="s">
        <v>934</v>
      </c>
      <c r="G415" s="6" t="s">
        <v>489</v>
      </c>
      <c r="H415" s="6"/>
      <c r="I415" s="6"/>
      <c r="J415" s="29" t="s">
        <v>1127</v>
      </c>
      <c r="K415" s="1">
        <f t="shared" si="18"/>
        <v>982</v>
      </c>
      <c r="L415" s="1" t="str">
        <f t="shared" si="19"/>
        <v>3D6</v>
      </c>
      <c r="M415" s="1" t="str">
        <f t="shared" si="20"/>
        <v>0x003D6</v>
      </c>
    </row>
    <row r="416" spans="1:13" x14ac:dyDescent="0.25">
      <c r="A416" s="15" t="s">
        <v>494</v>
      </c>
      <c r="B416" s="15" t="s">
        <v>10</v>
      </c>
      <c r="C416" s="16">
        <v>992</v>
      </c>
      <c r="D416" s="5" t="s">
        <v>1557</v>
      </c>
      <c r="E416" s="15">
        <v>4</v>
      </c>
      <c r="F416" s="6" t="s">
        <v>909</v>
      </c>
      <c r="G416" s="6" t="s">
        <v>489</v>
      </c>
      <c r="H416" s="6"/>
      <c r="I416" s="6"/>
      <c r="J416" s="29" t="s">
        <v>1127</v>
      </c>
      <c r="K416" s="1">
        <f t="shared" si="18"/>
        <v>991</v>
      </c>
      <c r="L416" s="1" t="str">
        <f t="shared" si="19"/>
        <v>3DF</v>
      </c>
      <c r="M416" s="1" t="str">
        <f t="shared" si="20"/>
        <v>0x003DF</v>
      </c>
    </row>
    <row r="417" spans="1:13" ht="40.5" x14ac:dyDescent="0.25">
      <c r="A417" s="15" t="s">
        <v>495</v>
      </c>
      <c r="B417" s="15" t="s">
        <v>10</v>
      </c>
      <c r="C417" s="16">
        <v>996</v>
      </c>
      <c r="D417" s="5" t="s">
        <v>1558</v>
      </c>
      <c r="E417" s="15">
        <v>25</v>
      </c>
      <c r="F417" s="6" t="s">
        <v>787</v>
      </c>
      <c r="G417" s="6" t="s">
        <v>489</v>
      </c>
      <c r="H417" s="6"/>
      <c r="I417" s="6"/>
      <c r="J417" s="29" t="s">
        <v>1127</v>
      </c>
      <c r="K417" s="1">
        <f t="shared" si="18"/>
        <v>995</v>
      </c>
      <c r="L417" s="1" t="str">
        <f t="shared" si="19"/>
        <v>3E3</v>
      </c>
      <c r="M417" s="1" t="str">
        <f t="shared" si="20"/>
        <v>0x003E3</v>
      </c>
    </row>
    <row r="418" spans="1:13" ht="40.5" x14ac:dyDescent="0.25">
      <c r="A418" s="15" t="s">
        <v>496</v>
      </c>
      <c r="B418" s="15" t="s">
        <v>10</v>
      </c>
      <c r="C418" s="16">
        <v>1021</v>
      </c>
      <c r="D418" s="5" t="s">
        <v>1559</v>
      </c>
      <c r="E418" s="15">
        <v>5</v>
      </c>
      <c r="F418" s="6" t="s">
        <v>788</v>
      </c>
      <c r="G418" s="6" t="s">
        <v>489</v>
      </c>
      <c r="H418" s="6"/>
      <c r="I418" s="10"/>
      <c r="J418" s="29" t="s">
        <v>1127</v>
      </c>
      <c r="K418" s="1">
        <f t="shared" si="18"/>
        <v>1020</v>
      </c>
      <c r="L418" s="1" t="str">
        <f t="shared" si="19"/>
        <v>3FC</v>
      </c>
      <c r="M418" s="1" t="str">
        <f t="shared" si="20"/>
        <v>0x003FC</v>
      </c>
    </row>
    <row r="419" spans="1:13" x14ac:dyDescent="0.25">
      <c r="A419" s="15" t="s">
        <v>497</v>
      </c>
      <c r="B419" s="15" t="s">
        <v>10</v>
      </c>
      <c r="C419" s="16">
        <v>1026</v>
      </c>
      <c r="D419" s="5" t="s">
        <v>1560</v>
      </c>
      <c r="E419" s="15">
        <v>1</v>
      </c>
      <c r="F419" s="6" t="s">
        <v>786</v>
      </c>
      <c r="G419" s="10" t="s">
        <v>176</v>
      </c>
      <c r="H419" s="6">
        <v>0</v>
      </c>
      <c r="I419" s="10" t="s">
        <v>208</v>
      </c>
      <c r="J419" s="29" t="s">
        <v>1095</v>
      </c>
      <c r="K419" s="1">
        <f t="shared" si="18"/>
        <v>1025</v>
      </c>
      <c r="L419" s="1" t="str">
        <f t="shared" si="19"/>
        <v>401</v>
      </c>
      <c r="M419" s="1" t="str">
        <f t="shared" si="20"/>
        <v>0x00401</v>
      </c>
    </row>
    <row r="420" spans="1:13" ht="81" x14ac:dyDescent="0.25">
      <c r="A420" s="15" t="s">
        <v>513</v>
      </c>
      <c r="B420" s="15" t="s">
        <v>10</v>
      </c>
      <c r="C420" s="16">
        <v>1050</v>
      </c>
      <c r="D420" s="5" t="s">
        <v>1561</v>
      </c>
      <c r="E420" s="15">
        <v>1</v>
      </c>
      <c r="F420" s="19" t="s">
        <v>935</v>
      </c>
      <c r="G420" s="6" t="s">
        <v>514</v>
      </c>
      <c r="H420" s="18"/>
      <c r="I420" s="10"/>
      <c r="J420" s="31" t="s">
        <v>1128</v>
      </c>
      <c r="K420" s="1">
        <f t="shared" si="18"/>
        <v>1049</v>
      </c>
      <c r="L420" s="1" t="str">
        <f t="shared" si="19"/>
        <v>419</v>
      </c>
      <c r="M420" s="1" t="str">
        <f t="shared" si="20"/>
        <v>0x00419</v>
      </c>
    </row>
    <row r="421" spans="1:13" x14ac:dyDescent="0.25">
      <c r="A421" s="15" t="s">
        <v>515</v>
      </c>
      <c r="B421" s="15" t="s">
        <v>10</v>
      </c>
      <c r="C421" s="16">
        <v>1051</v>
      </c>
      <c r="D421" s="5" t="s">
        <v>1562</v>
      </c>
      <c r="E421" s="16">
        <v>1</v>
      </c>
      <c r="F421" s="6" t="s">
        <v>836</v>
      </c>
      <c r="G421" s="10" t="s">
        <v>516</v>
      </c>
      <c r="H421" s="10" t="s">
        <v>190</v>
      </c>
      <c r="I421" s="10" t="s">
        <v>517</v>
      </c>
      <c r="J421" s="31" t="s">
        <v>1129</v>
      </c>
      <c r="K421" s="1">
        <f t="shared" si="18"/>
        <v>1050</v>
      </c>
      <c r="L421" s="1" t="str">
        <f t="shared" si="19"/>
        <v>41A</v>
      </c>
      <c r="M421" s="1" t="str">
        <f t="shared" si="20"/>
        <v>0x0041A</v>
      </c>
    </row>
    <row r="422" spans="1:13" ht="81" x14ac:dyDescent="0.25">
      <c r="A422" s="16" t="s">
        <v>487</v>
      </c>
      <c r="B422" s="15" t="s">
        <v>10</v>
      </c>
      <c r="C422" s="16">
        <v>1052</v>
      </c>
      <c r="D422" s="5" t="s">
        <v>1563</v>
      </c>
      <c r="E422" s="16">
        <v>1</v>
      </c>
      <c r="F422" s="6" t="s">
        <v>648</v>
      </c>
      <c r="G422" s="6" t="s">
        <v>17</v>
      </c>
      <c r="H422" s="10"/>
      <c r="I422" s="10"/>
      <c r="J422" s="29" t="s">
        <v>1004</v>
      </c>
      <c r="K422" s="1">
        <f t="shared" si="18"/>
        <v>1051</v>
      </c>
      <c r="L422" s="1" t="str">
        <f t="shared" si="19"/>
        <v>41B</v>
      </c>
      <c r="M422" s="1" t="str">
        <f t="shared" si="20"/>
        <v>0x0041B</v>
      </c>
    </row>
    <row r="423" spans="1:13" ht="51" x14ac:dyDescent="0.25">
      <c r="A423" s="16" t="s">
        <v>498</v>
      </c>
      <c r="B423" s="15" t="s">
        <v>10</v>
      </c>
      <c r="C423" s="16">
        <v>1053</v>
      </c>
      <c r="D423" s="5" t="s">
        <v>1564</v>
      </c>
      <c r="E423" s="16">
        <v>1</v>
      </c>
      <c r="F423" s="21" t="s">
        <v>789</v>
      </c>
      <c r="G423" s="6" t="s">
        <v>499</v>
      </c>
      <c r="H423" s="10"/>
      <c r="I423" s="10"/>
      <c r="J423" s="31" t="s">
        <v>1130</v>
      </c>
      <c r="K423" s="1">
        <f t="shared" si="18"/>
        <v>1052</v>
      </c>
      <c r="L423" s="1" t="str">
        <f t="shared" si="19"/>
        <v>41C</v>
      </c>
      <c r="M423" s="1" t="str">
        <f t="shared" si="20"/>
        <v>0x0041C</v>
      </c>
    </row>
    <row r="424" spans="1:13" ht="51" x14ac:dyDescent="0.25">
      <c r="A424" s="16" t="s">
        <v>500</v>
      </c>
      <c r="B424" s="15" t="s">
        <v>10</v>
      </c>
      <c r="C424" s="16">
        <v>1054</v>
      </c>
      <c r="D424" s="5" t="s">
        <v>1565</v>
      </c>
      <c r="E424" s="16">
        <v>1</v>
      </c>
      <c r="F424" s="21" t="s">
        <v>789</v>
      </c>
      <c r="G424" s="6" t="s">
        <v>499</v>
      </c>
      <c r="H424" s="18"/>
      <c r="I424" s="10"/>
      <c r="J424" s="31" t="s">
        <v>1130</v>
      </c>
      <c r="K424" s="1">
        <f t="shared" si="18"/>
        <v>1053</v>
      </c>
      <c r="L424" s="1" t="str">
        <f t="shared" si="19"/>
        <v>41D</v>
      </c>
      <c r="M424" s="1" t="str">
        <f t="shared" si="20"/>
        <v>0x0041D</v>
      </c>
    </row>
    <row r="425" spans="1:13" ht="51" x14ac:dyDescent="0.25">
      <c r="A425" s="16" t="s">
        <v>501</v>
      </c>
      <c r="B425" s="15" t="s">
        <v>10</v>
      </c>
      <c r="C425" s="16">
        <v>1055</v>
      </c>
      <c r="D425" s="5" t="s">
        <v>1566</v>
      </c>
      <c r="E425" s="16">
        <v>1</v>
      </c>
      <c r="F425" s="21" t="s">
        <v>789</v>
      </c>
      <c r="G425" s="6" t="s">
        <v>499</v>
      </c>
      <c r="H425" s="6"/>
      <c r="I425" s="10"/>
      <c r="J425" s="31" t="s">
        <v>1130</v>
      </c>
      <c r="K425" s="1">
        <f t="shared" si="18"/>
        <v>1054</v>
      </c>
      <c r="L425" s="1" t="str">
        <f t="shared" si="19"/>
        <v>41E</v>
      </c>
      <c r="M425" s="1" t="str">
        <f t="shared" si="20"/>
        <v>0x0041E</v>
      </c>
    </row>
    <row r="426" spans="1:13" ht="51" x14ac:dyDescent="0.25">
      <c r="A426" s="16" t="s">
        <v>502</v>
      </c>
      <c r="B426" s="15" t="s">
        <v>10</v>
      </c>
      <c r="C426" s="16">
        <v>1056</v>
      </c>
      <c r="D426" s="5" t="s">
        <v>1567</v>
      </c>
      <c r="E426" s="15">
        <v>1</v>
      </c>
      <c r="F426" s="21" t="s">
        <v>789</v>
      </c>
      <c r="G426" s="6" t="s">
        <v>499</v>
      </c>
      <c r="H426" s="10"/>
      <c r="I426" s="10"/>
      <c r="J426" s="31" t="s">
        <v>1130</v>
      </c>
      <c r="K426" s="1">
        <f t="shared" si="18"/>
        <v>1055</v>
      </c>
      <c r="L426" s="1" t="str">
        <f t="shared" si="19"/>
        <v>41F</v>
      </c>
      <c r="M426" s="1" t="str">
        <f t="shared" si="20"/>
        <v>0x0041F</v>
      </c>
    </row>
    <row r="427" spans="1:13" ht="51" x14ac:dyDescent="0.25">
      <c r="A427" s="16" t="s">
        <v>503</v>
      </c>
      <c r="B427" s="15" t="s">
        <v>10</v>
      </c>
      <c r="C427" s="16">
        <v>1057</v>
      </c>
      <c r="D427" s="5" t="s">
        <v>1568</v>
      </c>
      <c r="E427" s="15">
        <v>1</v>
      </c>
      <c r="F427" s="21" t="s">
        <v>789</v>
      </c>
      <c r="G427" s="6" t="s">
        <v>499</v>
      </c>
      <c r="H427" s="6"/>
      <c r="I427" s="6"/>
      <c r="J427" s="31" t="s">
        <v>1130</v>
      </c>
      <c r="K427" s="1">
        <f t="shared" si="18"/>
        <v>1056</v>
      </c>
      <c r="L427" s="1" t="str">
        <f t="shared" si="19"/>
        <v>420</v>
      </c>
      <c r="M427" s="1" t="str">
        <f t="shared" si="20"/>
        <v>0x00420</v>
      </c>
    </row>
    <row r="428" spans="1:13" ht="51" x14ac:dyDescent="0.25">
      <c r="A428" s="16" t="s">
        <v>504</v>
      </c>
      <c r="B428" s="15" t="s">
        <v>10</v>
      </c>
      <c r="C428" s="16">
        <v>1058</v>
      </c>
      <c r="D428" s="5" t="s">
        <v>1569</v>
      </c>
      <c r="E428" s="15">
        <v>1</v>
      </c>
      <c r="F428" s="21" t="s">
        <v>789</v>
      </c>
      <c r="G428" s="6" t="s">
        <v>499</v>
      </c>
      <c r="H428" s="6"/>
      <c r="I428" s="6"/>
      <c r="J428" s="31" t="s">
        <v>1130</v>
      </c>
      <c r="K428" s="1">
        <f t="shared" si="18"/>
        <v>1057</v>
      </c>
      <c r="L428" s="1" t="str">
        <f t="shared" si="19"/>
        <v>421</v>
      </c>
      <c r="M428" s="1" t="str">
        <f t="shared" si="20"/>
        <v>0x00421</v>
      </c>
    </row>
    <row r="429" spans="1:13" ht="51" x14ac:dyDescent="0.25">
      <c r="A429" s="16" t="s">
        <v>505</v>
      </c>
      <c r="B429" s="15" t="s">
        <v>10</v>
      </c>
      <c r="C429" s="16">
        <v>1059</v>
      </c>
      <c r="D429" s="5" t="s">
        <v>1570</v>
      </c>
      <c r="E429" s="15">
        <v>1</v>
      </c>
      <c r="F429" s="21" t="s">
        <v>789</v>
      </c>
      <c r="G429" s="6" t="s">
        <v>499</v>
      </c>
      <c r="H429" s="6"/>
      <c r="I429" s="10"/>
      <c r="J429" s="31" t="s">
        <v>1130</v>
      </c>
      <c r="K429" s="1">
        <f t="shared" si="18"/>
        <v>1058</v>
      </c>
      <c r="L429" s="1" t="str">
        <f t="shared" si="19"/>
        <v>422</v>
      </c>
      <c r="M429" s="1" t="str">
        <f t="shared" si="20"/>
        <v>0x00422</v>
      </c>
    </row>
    <row r="430" spans="1:13" ht="51" x14ac:dyDescent="0.25">
      <c r="A430" s="16" t="s">
        <v>506</v>
      </c>
      <c r="B430" s="15" t="s">
        <v>10</v>
      </c>
      <c r="C430" s="16">
        <v>1060</v>
      </c>
      <c r="D430" s="5" t="s">
        <v>1571</v>
      </c>
      <c r="E430" s="15">
        <v>1</v>
      </c>
      <c r="F430" s="21" t="s">
        <v>790</v>
      </c>
      <c r="G430" s="6" t="s">
        <v>499</v>
      </c>
      <c r="H430" s="6"/>
      <c r="I430" s="10"/>
      <c r="J430" s="31" t="s">
        <v>1130</v>
      </c>
      <c r="K430" s="1">
        <f t="shared" si="18"/>
        <v>1059</v>
      </c>
      <c r="L430" s="1" t="str">
        <f t="shared" si="19"/>
        <v>423</v>
      </c>
      <c r="M430" s="1" t="str">
        <f t="shared" si="20"/>
        <v>0x00423</v>
      </c>
    </row>
    <row r="431" spans="1:13" ht="51" x14ac:dyDescent="0.25">
      <c r="A431" s="16" t="s">
        <v>507</v>
      </c>
      <c r="B431" s="15" t="s">
        <v>10</v>
      </c>
      <c r="C431" s="16">
        <v>1061</v>
      </c>
      <c r="D431" s="5" t="s">
        <v>1572</v>
      </c>
      <c r="E431" s="15">
        <v>1</v>
      </c>
      <c r="F431" s="21" t="s">
        <v>790</v>
      </c>
      <c r="G431" s="6" t="s">
        <v>499</v>
      </c>
      <c r="H431" s="6"/>
      <c r="I431" s="10"/>
      <c r="J431" s="31" t="s">
        <v>1130</v>
      </c>
      <c r="K431" s="1">
        <f t="shared" si="18"/>
        <v>1060</v>
      </c>
      <c r="L431" s="1" t="str">
        <f t="shared" si="19"/>
        <v>424</v>
      </c>
      <c r="M431" s="1" t="str">
        <f t="shared" si="20"/>
        <v>0x00424</v>
      </c>
    </row>
    <row r="432" spans="1:13" ht="51" x14ac:dyDescent="0.25">
      <c r="A432" s="16" t="s">
        <v>508</v>
      </c>
      <c r="B432" s="15" t="s">
        <v>10</v>
      </c>
      <c r="C432" s="16">
        <v>1062</v>
      </c>
      <c r="D432" s="5" t="s">
        <v>1573</v>
      </c>
      <c r="E432" s="15">
        <v>1</v>
      </c>
      <c r="F432" s="21" t="s">
        <v>790</v>
      </c>
      <c r="G432" s="6" t="s">
        <v>499</v>
      </c>
      <c r="H432" s="6"/>
      <c r="I432" s="10"/>
      <c r="J432" s="31" t="s">
        <v>1130</v>
      </c>
      <c r="K432" s="1">
        <f t="shared" si="18"/>
        <v>1061</v>
      </c>
      <c r="L432" s="1" t="str">
        <f t="shared" si="19"/>
        <v>425</v>
      </c>
      <c r="M432" s="1" t="str">
        <f t="shared" si="20"/>
        <v>0x00425</v>
      </c>
    </row>
    <row r="433" spans="1:13" ht="51" x14ac:dyDescent="0.25">
      <c r="A433" s="16" t="s">
        <v>509</v>
      </c>
      <c r="B433" s="15" t="s">
        <v>10</v>
      </c>
      <c r="C433" s="16">
        <v>1063</v>
      </c>
      <c r="D433" s="5" t="s">
        <v>1574</v>
      </c>
      <c r="E433" s="15">
        <v>1</v>
      </c>
      <c r="F433" s="21" t="s">
        <v>790</v>
      </c>
      <c r="G433" s="6" t="s">
        <v>499</v>
      </c>
      <c r="H433" s="6"/>
      <c r="I433" s="6"/>
      <c r="J433" s="31" t="s">
        <v>1130</v>
      </c>
      <c r="K433" s="1">
        <f t="shared" si="18"/>
        <v>1062</v>
      </c>
      <c r="L433" s="1" t="str">
        <f t="shared" si="19"/>
        <v>426</v>
      </c>
      <c r="M433" s="1" t="str">
        <f t="shared" si="20"/>
        <v>0x00426</v>
      </c>
    </row>
    <row r="434" spans="1:13" ht="51" x14ac:dyDescent="0.25">
      <c r="A434" s="16" t="s">
        <v>510</v>
      </c>
      <c r="B434" s="15" t="s">
        <v>10</v>
      </c>
      <c r="C434" s="16">
        <v>1064</v>
      </c>
      <c r="D434" s="5" t="s">
        <v>1575</v>
      </c>
      <c r="E434" s="15">
        <v>1</v>
      </c>
      <c r="F434" s="21" t="s">
        <v>790</v>
      </c>
      <c r="G434" s="6" t="s">
        <v>499</v>
      </c>
      <c r="H434" s="6"/>
      <c r="I434" s="6"/>
      <c r="J434" s="31" t="s">
        <v>1130</v>
      </c>
      <c r="K434" s="1">
        <f t="shared" si="18"/>
        <v>1063</v>
      </c>
      <c r="L434" s="1" t="str">
        <f t="shared" si="19"/>
        <v>427</v>
      </c>
      <c r="M434" s="1" t="str">
        <f t="shared" si="20"/>
        <v>0x00427</v>
      </c>
    </row>
    <row r="435" spans="1:13" ht="51" x14ac:dyDescent="0.25">
      <c r="A435" s="16" t="s">
        <v>511</v>
      </c>
      <c r="B435" s="15" t="s">
        <v>10</v>
      </c>
      <c r="C435" s="16">
        <v>1065</v>
      </c>
      <c r="D435" s="5" t="s">
        <v>1576</v>
      </c>
      <c r="E435" s="15">
        <v>1</v>
      </c>
      <c r="F435" s="21" t="s">
        <v>790</v>
      </c>
      <c r="G435" s="6" t="s">
        <v>499</v>
      </c>
      <c r="H435" s="6"/>
      <c r="I435" s="6"/>
      <c r="J435" s="31" t="s">
        <v>1130</v>
      </c>
      <c r="K435" s="1">
        <f t="shared" si="18"/>
        <v>1064</v>
      </c>
      <c r="L435" s="1" t="str">
        <f t="shared" si="19"/>
        <v>428</v>
      </c>
      <c r="M435" s="1" t="str">
        <f t="shared" si="20"/>
        <v>0x00428</v>
      </c>
    </row>
    <row r="436" spans="1:13" ht="51" x14ac:dyDescent="0.25">
      <c r="A436" s="16" t="s">
        <v>512</v>
      </c>
      <c r="B436" s="15" t="s">
        <v>10</v>
      </c>
      <c r="C436" s="16">
        <v>1066</v>
      </c>
      <c r="D436" s="5" t="s">
        <v>1577</v>
      </c>
      <c r="E436" s="15">
        <v>1</v>
      </c>
      <c r="F436" s="21" t="s">
        <v>790</v>
      </c>
      <c r="G436" s="6" t="s">
        <v>499</v>
      </c>
      <c r="H436" s="6"/>
      <c r="I436" s="6"/>
      <c r="J436" s="31" t="s">
        <v>1130</v>
      </c>
      <c r="K436" s="1">
        <f t="shared" si="18"/>
        <v>1065</v>
      </c>
      <c r="L436" s="1" t="str">
        <f t="shared" si="19"/>
        <v>429</v>
      </c>
      <c r="M436" s="1" t="str">
        <f t="shared" si="20"/>
        <v>0x00429</v>
      </c>
    </row>
    <row r="437" spans="1:13" ht="60.75" x14ac:dyDescent="0.25">
      <c r="A437" s="16" t="s">
        <v>1068</v>
      </c>
      <c r="B437" s="15" t="s">
        <v>10</v>
      </c>
      <c r="C437" s="16">
        <v>1067</v>
      </c>
      <c r="D437" s="5" t="s">
        <v>1578</v>
      </c>
      <c r="E437" s="15">
        <v>1</v>
      </c>
      <c r="F437" s="16" t="s">
        <v>1068</v>
      </c>
      <c r="G437" s="6" t="s">
        <v>1698</v>
      </c>
      <c r="H437" s="6"/>
      <c r="I437" s="6"/>
      <c r="J437" s="31" t="s">
        <v>1130</v>
      </c>
      <c r="K437" s="1">
        <f t="shared" si="18"/>
        <v>1066</v>
      </c>
      <c r="L437" s="1" t="str">
        <f t="shared" si="19"/>
        <v>42A</v>
      </c>
      <c r="M437" s="1" t="str">
        <f t="shared" si="20"/>
        <v>0x0042A</v>
      </c>
    </row>
    <row r="438" spans="1:13" ht="60.75" x14ac:dyDescent="0.25">
      <c r="A438" s="16" t="s">
        <v>1069</v>
      </c>
      <c r="B438" s="15" t="s">
        <v>10</v>
      </c>
      <c r="C438" s="16">
        <v>1068</v>
      </c>
      <c r="D438" s="5" t="s">
        <v>1579</v>
      </c>
      <c r="E438" s="15">
        <v>1</v>
      </c>
      <c r="F438" s="16" t="s">
        <v>1069</v>
      </c>
      <c r="G438" s="6" t="s">
        <v>1698</v>
      </c>
      <c r="H438" s="6"/>
      <c r="I438" s="6"/>
      <c r="J438" s="31" t="s">
        <v>1130</v>
      </c>
      <c r="K438" s="1">
        <f t="shared" si="18"/>
        <v>1067</v>
      </c>
      <c r="L438" s="1" t="str">
        <f t="shared" si="19"/>
        <v>42B</v>
      </c>
      <c r="M438" s="1" t="str">
        <f t="shared" si="20"/>
        <v>0x0042B</v>
      </c>
    </row>
    <row r="439" spans="1:13" ht="60.75" x14ac:dyDescent="0.25">
      <c r="A439" s="16" t="s">
        <v>1070</v>
      </c>
      <c r="B439" s="15" t="s">
        <v>10</v>
      </c>
      <c r="C439" s="16">
        <v>1069</v>
      </c>
      <c r="D439" s="5" t="s">
        <v>1580</v>
      </c>
      <c r="E439" s="15">
        <v>1</v>
      </c>
      <c r="F439" s="16" t="s">
        <v>1070</v>
      </c>
      <c r="G439" s="6" t="s">
        <v>1698</v>
      </c>
      <c r="H439" s="6"/>
      <c r="I439" s="6"/>
      <c r="J439" s="31" t="s">
        <v>1130</v>
      </c>
      <c r="K439" s="1">
        <f t="shared" si="18"/>
        <v>1068</v>
      </c>
      <c r="L439" s="1" t="str">
        <f t="shared" si="19"/>
        <v>42C</v>
      </c>
      <c r="M439" s="1" t="str">
        <f t="shared" si="20"/>
        <v>0x0042C</v>
      </c>
    </row>
    <row r="440" spans="1:13" ht="60.75" x14ac:dyDescent="0.25">
      <c r="A440" s="16" t="s">
        <v>1071</v>
      </c>
      <c r="B440" s="15" t="s">
        <v>10</v>
      </c>
      <c r="C440" s="16">
        <v>1070</v>
      </c>
      <c r="D440" s="5" t="s">
        <v>1581</v>
      </c>
      <c r="E440" s="15">
        <v>1</v>
      </c>
      <c r="F440" s="16" t="s">
        <v>1071</v>
      </c>
      <c r="G440" s="6" t="s">
        <v>1698</v>
      </c>
      <c r="H440" s="6"/>
      <c r="I440" s="6"/>
      <c r="J440" s="31" t="s">
        <v>1130</v>
      </c>
      <c r="K440" s="1">
        <f t="shared" si="18"/>
        <v>1069</v>
      </c>
      <c r="L440" s="1" t="str">
        <f t="shared" si="19"/>
        <v>42D</v>
      </c>
      <c r="M440" s="1" t="str">
        <f t="shared" si="20"/>
        <v>0x0042D</v>
      </c>
    </row>
    <row r="441" spans="1:13" ht="60.75" x14ac:dyDescent="0.25">
      <c r="A441" s="16" t="s">
        <v>1072</v>
      </c>
      <c r="B441" s="15" t="s">
        <v>10</v>
      </c>
      <c r="C441" s="16">
        <v>1071</v>
      </c>
      <c r="D441" s="5" t="s">
        <v>1582</v>
      </c>
      <c r="E441" s="15">
        <v>1</v>
      </c>
      <c r="F441" s="16" t="s">
        <v>1072</v>
      </c>
      <c r="G441" s="6" t="s">
        <v>1698</v>
      </c>
      <c r="H441" s="6"/>
      <c r="I441" s="6"/>
      <c r="J441" s="31" t="s">
        <v>1130</v>
      </c>
      <c r="K441" s="1">
        <f t="shared" si="18"/>
        <v>1070</v>
      </c>
      <c r="L441" s="1" t="str">
        <f t="shared" si="19"/>
        <v>42E</v>
      </c>
      <c r="M441" s="1" t="str">
        <f t="shared" si="20"/>
        <v>0x0042E</v>
      </c>
    </row>
    <row r="442" spans="1:13" ht="60.75" x14ac:dyDescent="0.25">
      <c r="A442" s="16" t="s">
        <v>1073</v>
      </c>
      <c r="B442" s="15" t="s">
        <v>10</v>
      </c>
      <c r="C442" s="16">
        <v>1072</v>
      </c>
      <c r="D442" s="5" t="s">
        <v>1583</v>
      </c>
      <c r="E442" s="15">
        <v>1</v>
      </c>
      <c r="F442" s="16" t="s">
        <v>1073</v>
      </c>
      <c r="G442" s="6" t="s">
        <v>1698</v>
      </c>
      <c r="H442" s="6"/>
      <c r="I442" s="6"/>
      <c r="J442" s="31" t="s">
        <v>1130</v>
      </c>
      <c r="K442" s="1">
        <f t="shared" si="18"/>
        <v>1071</v>
      </c>
      <c r="L442" s="1" t="str">
        <f t="shared" si="19"/>
        <v>42F</v>
      </c>
      <c r="M442" s="1" t="str">
        <f t="shared" si="20"/>
        <v>0x0042F</v>
      </c>
    </row>
    <row r="443" spans="1:13" ht="60.75" x14ac:dyDescent="0.25">
      <c r="A443" s="16" t="s">
        <v>1074</v>
      </c>
      <c r="B443" s="15" t="s">
        <v>10</v>
      </c>
      <c r="C443" s="16">
        <v>1073</v>
      </c>
      <c r="D443" s="5" t="s">
        <v>1584</v>
      </c>
      <c r="E443" s="15">
        <v>1</v>
      </c>
      <c r="F443" s="16" t="s">
        <v>1074</v>
      </c>
      <c r="G443" s="6" t="s">
        <v>1698</v>
      </c>
      <c r="H443" s="6"/>
      <c r="I443" s="6"/>
      <c r="J443" s="31" t="s">
        <v>1130</v>
      </c>
      <c r="K443" s="1">
        <f t="shared" si="18"/>
        <v>1072</v>
      </c>
      <c r="L443" s="1" t="str">
        <f t="shared" si="19"/>
        <v>430</v>
      </c>
      <c r="M443" s="1" t="str">
        <f t="shared" si="20"/>
        <v>0x00430</v>
      </c>
    </row>
    <row r="444" spans="1:13" ht="121.5" x14ac:dyDescent="0.25">
      <c r="A444" s="16" t="s">
        <v>518</v>
      </c>
      <c r="B444" s="15" t="s">
        <v>10</v>
      </c>
      <c r="C444" s="16">
        <v>1080</v>
      </c>
      <c r="D444" s="5" t="s">
        <v>1585</v>
      </c>
      <c r="E444" s="15">
        <v>1</v>
      </c>
      <c r="F444" s="16" t="s">
        <v>936</v>
      </c>
      <c r="G444" s="6" t="s">
        <v>1703</v>
      </c>
      <c r="H444" s="6"/>
      <c r="I444" s="6"/>
      <c r="J444" s="31" t="s">
        <v>518</v>
      </c>
      <c r="K444" s="1">
        <f t="shared" si="18"/>
        <v>1079</v>
      </c>
      <c r="L444" s="1" t="str">
        <f t="shared" si="19"/>
        <v>437</v>
      </c>
      <c r="M444" s="1" t="str">
        <f t="shared" si="20"/>
        <v>0x00437</v>
      </c>
    </row>
    <row r="445" spans="1:13" ht="162" x14ac:dyDescent="0.25">
      <c r="A445" s="16" t="s">
        <v>519</v>
      </c>
      <c r="B445" s="15" t="s">
        <v>10</v>
      </c>
      <c r="C445" s="16">
        <v>1081</v>
      </c>
      <c r="D445" s="5" t="s">
        <v>1586</v>
      </c>
      <c r="E445" s="15">
        <v>1</v>
      </c>
      <c r="F445" s="16" t="s">
        <v>936</v>
      </c>
      <c r="G445" s="10" t="s">
        <v>1704</v>
      </c>
      <c r="H445" s="6"/>
      <c r="I445" s="10"/>
      <c r="J445" s="31" t="s">
        <v>519</v>
      </c>
      <c r="K445" s="1">
        <f t="shared" si="18"/>
        <v>1080</v>
      </c>
      <c r="L445" s="1" t="str">
        <f t="shared" si="19"/>
        <v>438</v>
      </c>
      <c r="M445" s="1" t="str">
        <f t="shared" si="20"/>
        <v>0x00438</v>
      </c>
    </row>
    <row r="446" spans="1:13" x14ac:dyDescent="0.25">
      <c r="A446" s="16" t="s">
        <v>520</v>
      </c>
      <c r="B446" s="15" t="s">
        <v>10</v>
      </c>
      <c r="C446" s="16">
        <v>1082</v>
      </c>
      <c r="D446" s="5" t="s">
        <v>1587</v>
      </c>
      <c r="E446" s="15">
        <v>1</v>
      </c>
      <c r="F446" s="6" t="s">
        <v>829</v>
      </c>
      <c r="G446" s="10" t="s">
        <v>521</v>
      </c>
      <c r="H446" s="6">
        <v>-16</v>
      </c>
      <c r="I446" s="10" t="s">
        <v>522</v>
      </c>
      <c r="J446" s="31" t="s">
        <v>1131</v>
      </c>
      <c r="K446" s="1">
        <f t="shared" si="18"/>
        <v>1081</v>
      </c>
      <c r="L446" s="1" t="str">
        <f t="shared" si="19"/>
        <v>439</v>
      </c>
      <c r="M446" s="1" t="str">
        <f t="shared" si="20"/>
        <v>0x00439</v>
      </c>
    </row>
    <row r="447" spans="1:13" x14ac:dyDescent="0.25">
      <c r="A447" s="16" t="s">
        <v>523</v>
      </c>
      <c r="B447" s="15" t="s">
        <v>10</v>
      </c>
      <c r="C447" s="16">
        <v>1083</v>
      </c>
      <c r="D447" s="5" t="s">
        <v>1588</v>
      </c>
      <c r="E447" s="15">
        <v>1</v>
      </c>
      <c r="F447" s="6" t="s">
        <v>829</v>
      </c>
      <c r="G447" s="10" t="s">
        <v>521</v>
      </c>
      <c r="H447" s="6">
        <v>-16</v>
      </c>
      <c r="I447" s="10" t="s">
        <v>522</v>
      </c>
      <c r="J447" s="31" t="s">
        <v>1131</v>
      </c>
      <c r="K447" s="1">
        <f t="shared" si="18"/>
        <v>1082</v>
      </c>
      <c r="L447" s="1" t="str">
        <f t="shared" si="19"/>
        <v>43A</v>
      </c>
      <c r="M447" s="1" t="str">
        <f t="shared" si="20"/>
        <v>0x0043A</v>
      </c>
    </row>
    <row r="448" spans="1:13" x14ac:dyDescent="0.25">
      <c r="A448" s="16" t="s">
        <v>524</v>
      </c>
      <c r="B448" s="15" t="s">
        <v>10</v>
      </c>
      <c r="C448" s="16">
        <v>1084</v>
      </c>
      <c r="D448" s="5" t="s">
        <v>1589</v>
      </c>
      <c r="E448" s="16">
        <v>1</v>
      </c>
      <c r="F448" s="6" t="s">
        <v>829</v>
      </c>
      <c r="G448" s="10" t="s">
        <v>521</v>
      </c>
      <c r="H448" s="6">
        <v>-16</v>
      </c>
      <c r="I448" s="10" t="s">
        <v>522</v>
      </c>
      <c r="J448" s="31" t="s">
        <v>1131</v>
      </c>
      <c r="K448" s="1">
        <f t="shared" si="18"/>
        <v>1083</v>
      </c>
      <c r="L448" s="1" t="str">
        <f t="shared" si="19"/>
        <v>43B</v>
      </c>
      <c r="M448" s="1" t="str">
        <f t="shared" si="20"/>
        <v>0x0043B</v>
      </c>
    </row>
    <row r="449" spans="1:13" ht="40.5" x14ac:dyDescent="0.25">
      <c r="A449" s="16" t="s">
        <v>525</v>
      </c>
      <c r="B449" s="15" t="s">
        <v>10</v>
      </c>
      <c r="C449" s="16">
        <v>1085</v>
      </c>
      <c r="D449" s="5" t="s">
        <v>1590</v>
      </c>
      <c r="E449" s="16">
        <v>2</v>
      </c>
      <c r="F449" s="6" t="s">
        <v>830</v>
      </c>
      <c r="G449" s="10" t="s">
        <v>526</v>
      </c>
      <c r="H449" s="10">
        <v>-8224768</v>
      </c>
      <c r="I449" s="10" t="s">
        <v>843</v>
      </c>
      <c r="J449" s="31" t="s">
        <v>1132</v>
      </c>
      <c r="K449" s="1">
        <f t="shared" si="18"/>
        <v>1084</v>
      </c>
      <c r="L449" s="1" t="str">
        <f t="shared" si="19"/>
        <v>43C</v>
      </c>
      <c r="M449" s="1" t="str">
        <f t="shared" si="20"/>
        <v>0x0043C</v>
      </c>
    </row>
    <row r="450" spans="1:13" ht="40.5" x14ac:dyDescent="0.25">
      <c r="A450" s="16" t="s">
        <v>527</v>
      </c>
      <c r="B450" s="15" t="s">
        <v>10</v>
      </c>
      <c r="C450" s="16">
        <v>1087</v>
      </c>
      <c r="D450" s="5" t="s">
        <v>1591</v>
      </c>
      <c r="E450" s="15">
        <v>2</v>
      </c>
      <c r="F450" s="6" t="s">
        <v>830</v>
      </c>
      <c r="G450" s="10" t="s">
        <v>526</v>
      </c>
      <c r="H450" s="10">
        <v>-8224768</v>
      </c>
      <c r="I450" s="10" t="s">
        <v>843</v>
      </c>
      <c r="J450" s="31" t="s">
        <v>1132</v>
      </c>
      <c r="K450" s="1">
        <f t="shared" si="18"/>
        <v>1086</v>
      </c>
      <c r="L450" s="1" t="str">
        <f t="shared" si="19"/>
        <v>43E</v>
      </c>
      <c r="M450" s="1" t="str">
        <f t="shared" si="20"/>
        <v>0x0043E</v>
      </c>
    </row>
    <row r="451" spans="1:13" ht="40.5" x14ac:dyDescent="0.25">
      <c r="A451" s="16" t="s">
        <v>528</v>
      </c>
      <c r="B451" s="15" t="s">
        <v>10</v>
      </c>
      <c r="C451" s="16">
        <v>1089</v>
      </c>
      <c r="D451" s="5" t="s">
        <v>1592</v>
      </c>
      <c r="E451" s="15">
        <v>2</v>
      </c>
      <c r="F451" s="6" t="s">
        <v>830</v>
      </c>
      <c r="G451" s="10" t="s">
        <v>526</v>
      </c>
      <c r="H451" s="10">
        <v>-8224768</v>
      </c>
      <c r="I451" s="10" t="s">
        <v>843</v>
      </c>
      <c r="J451" s="31" t="s">
        <v>1132</v>
      </c>
      <c r="K451" s="1">
        <f t="shared" si="18"/>
        <v>1088</v>
      </c>
      <c r="L451" s="1" t="str">
        <f t="shared" si="19"/>
        <v>440</v>
      </c>
      <c r="M451" s="1" t="str">
        <f t="shared" si="20"/>
        <v>0x00440</v>
      </c>
    </row>
    <row r="452" spans="1:13" ht="40.5" x14ac:dyDescent="0.25">
      <c r="A452" s="16" t="s">
        <v>529</v>
      </c>
      <c r="B452" s="15" t="s">
        <v>10</v>
      </c>
      <c r="C452" s="16">
        <v>1091</v>
      </c>
      <c r="D452" s="5" t="s">
        <v>1593</v>
      </c>
      <c r="E452" s="15">
        <v>2</v>
      </c>
      <c r="F452" s="6" t="s">
        <v>831</v>
      </c>
      <c r="G452" s="10" t="s">
        <v>526</v>
      </c>
      <c r="H452" s="10">
        <v>-8224768</v>
      </c>
      <c r="I452" s="10" t="s">
        <v>843</v>
      </c>
      <c r="J452" s="31" t="s">
        <v>1132</v>
      </c>
      <c r="K452" s="1">
        <f t="shared" si="18"/>
        <v>1090</v>
      </c>
      <c r="L452" s="1" t="str">
        <f t="shared" si="19"/>
        <v>442</v>
      </c>
      <c r="M452" s="1" t="str">
        <f t="shared" si="20"/>
        <v>0x00442</v>
      </c>
    </row>
    <row r="453" spans="1:13" ht="40.5" x14ac:dyDescent="0.25">
      <c r="A453" s="16" t="s">
        <v>530</v>
      </c>
      <c r="B453" s="15" t="s">
        <v>10</v>
      </c>
      <c r="C453" s="16">
        <v>1093</v>
      </c>
      <c r="D453" s="5" t="s">
        <v>1594</v>
      </c>
      <c r="E453" s="15">
        <v>2</v>
      </c>
      <c r="F453" s="6" t="s">
        <v>831</v>
      </c>
      <c r="G453" s="10" t="s">
        <v>526</v>
      </c>
      <c r="H453" s="10">
        <v>-8224768</v>
      </c>
      <c r="I453" s="10" t="s">
        <v>843</v>
      </c>
      <c r="J453" s="31" t="s">
        <v>1132</v>
      </c>
      <c r="K453" s="1">
        <f t="shared" si="18"/>
        <v>1092</v>
      </c>
      <c r="L453" s="1" t="str">
        <f t="shared" si="19"/>
        <v>444</v>
      </c>
      <c r="M453" s="1" t="str">
        <f t="shared" si="20"/>
        <v>0x00444</v>
      </c>
    </row>
    <row r="454" spans="1:13" ht="40.5" x14ac:dyDescent="0.25">
      <c r="A454" s="16" t="s">
        <v>531</v>
      </c>
      <c r="B454" s="15" t="s">
        <v>10</v>
      </c>
      <c r="C454" s="16">
        <v>1095</v>
      </c>
      <c r="D454" s="5" t="s">
        <v>1595</v>
      </c>
      <c r="E454" s="15">
        <v>1</v>
      </c>
      <c r="F454" s="6" t="s">
        <v>841</v>
      </c>
      <c r="G454" s="10" t="s">
        <v>521</v>
      </c>
      <c r="H454" s="10">
        <v>-16</v>
      </c>
      <c r="I454" s="10" t="s">
        <v>522</v>
      </c>
      <c r="J454" s="31" t="s">
        <v>1131</v>
      </c>
      <c r="K454" s="1">
        <f t="shared" si="18"/>
        <v>1094</v>
      </c>
      <c r="L454" s="1" t="str">
        <f t="shared" si="19"/>
        <v>446</v>
      </c>
      <c r="M454" s="1" t="str">
        <f t="shared" si="20"/>
        <v>0x00446</v>
      </c>
    </row>
    <row r="455" spans="1:13" ht="40.5" x14ac:dyDescent="0.25">
      <c r="A455" s="16" t="s">
        <v>532</v>
      </c>
      <c r="B455" s="15" t="s">
        <v>10</v>
      </c>
      <c r="C455" s="16">
        <v>1096</v>
      </c>
      <c r="D455" s="5" t="s">
        <v>1596</v>
      </c>
      <c r="E455" s="15">
        <v>1</v>
      </c>
      <c r="F455" s="6" t="s">
        <v>842</v>
      </c>
      <c r="G455" s="10" t="s">
        <v>521</v>
      </c>
      <c r="H455" s="10">
        <v>-16</v>
      </c>
      <c r="I455" s="10" t="s">
        <v>522</v>
      </c>
      <c r="J455" s="31" t="s">
        <v>1131</v>
      </c>
      <c r="K455" s="1">
        <f t="shared" ref="K455:K518" si="21">C455-1</f>
        <v>1095</v>
      </c>
      <c r="L455" s="1" t="str">
        <f t="shared" ref="L455:L518" si="22">DEC2HEX(K455)</f>
        <v>447</v>
      </c>
      <c r="M455" s="1" t="str">
        <f t="shared" ref="M455:M518" si="23">_xlfn.CONCAT("0x00", L455)</f>
        <v>0x00447</v>
      </c>
    </row>
    <row r="456" spans="1:13" ht="40.5" x14ac:dyDescent="0.25">
      <c r="A456" s="16" t="s">
        <v>533</v>
      </c>
      <c r="B456" s="15" t="s">
        <v>10</v>
      </c>
      <c r="C456" s="16">
        <v>1097</v>
      </c>
      <c r="D456" s="5" t="s">
        <v>1597</v>
      </c>
      <c r="E456" s="15">
        <v>2</v>
      </c>
      <c r="F456" s="6" t="s">
        <v>832</v>
      </c>
      <c r="G456" s="10" t="s">
        <v>526</v>
      </c>
      <c r="H456" s="10">
        <v>-8224768</v>
      </c>
      <c r="I456" s="10" t="s">
        <v>843</v>
      </c>
      <c r="J456" s="31" t="s">
        <v>1132</v>
      </c>
      <c r="K456" s="1">
        <f t="shared" si="21"/>
        <v>1096</v>
      </c>
      <c r="L456" s="1" t="str">
        <f t="shared" si="22"/>
        <v>448</v>
      </c>
      <c r="M456" s="1" t="str">
        <f t="shared" si="23"/>
        <v>0x00448</v>
      </c>
    </row>
    <row r="457" spans="1:13" ht="40.5" x14ac:dyDescent="0.25">
      <c r="A457" s="16" t="s">
        <v>534</v>
      </c>
      <c r="B457" s="15" t="s">
        <v>10</v>
      </c>
      <c r="C457" s="16">
        <v>1099</v>
      </c>
      <c r="D457" s="5" t="s">
        <v>1598</v>
      </c>
      <c r="E457" s="15">
        <v>2</v>
      </c>
      <c r="F457" s="6" t="s">
        <v>832</v>
      </c>
      <c r="G457" s="10" t="s">
        <v>526</v>
      </c>
      <c r="H457" s="10">
        <v>-8224768</v>
      </c>
      <c r="I457" s="10" t="s">
        <v>843</v>
      </c>
      <c r="J457" s="31" t="s">
        <v>1132</v>
      </c>
      <c r="K457" s="1">
        <f t="shared" si="21"/>
        <v>1098</v>
      </c>
      <c r="L457" s="1" t="str">
        <f t="shared" si="22"/>
        <v>44A</v>
      </c>
      <c r="M457" s="1" t="str">
        <f t="shared" si="23"/>
        <v>0x0044A</v>
      </c>
    </row>
    <row r="458" spans="1:13" ht="40.5" x14ac:dyDescent="0.25">
      <c r="A458" s="16" t="s">
        <v>535</v>
      </c>
      <c r="B458" s="15" t="s">
        <v>10</v>
      </c>
      <c r="C458" s="16">
        <v>1101</v>
      </c>
      <c r="D458" s="5" t="s">
        <v>1599</v>
      </c>
      <c r="E458" s="15">
        <v>2</v>
      </c>
      <c r="F458" s="6" t="s">
        <v>832</v>
      </c>
      <c r="G458" s="10" t="s">
        <v>526</v>
      </c>
      <c r="H458" s="10">
        <v>-8224768</v>
      </c>
      <c r="I458" s="10" t="s">
        <v>843</v>
      </c>
      <c r="J458" s="31" t="s">
        <v>1132</v>
      </c>
      <c r="K458" s="1">
        <f t="shared" si="21"/>
        <v>1100</v>
      </c>
      <c r="L458" s="1" t="str">
        <f t="shared" si="22"/>
        <v>44C</v>
      </c>
      <c r="M458" s="1" t="str">
        <f t="shared" si="23"/>
        <v>0x0044C</v>
      </c>
    </row>
    <row r="459" spans="1:13" x14ac:dyDescent="0.25">
      <c r="A459" s="16" t="s">
        <v>536</v>
      </c>
      <c r="B459" s="15" t="s">
        <v>10</v>
      </c>
      <c r="C459" s="16">
        <v>1103</v>
      </c>
      <c r="D459" s="5" t="s">
        <v>1600</v>
      </c>
      <c r="E459" s="15">
        <v>1</v>
      </c>
      <c r="F459" s="6" t="s">
        <v>833</v>
      </c>
      <c r="G459" s="10" t="s">
        <v>224</v>
      </c>
      <c r="H459" s="10">
        <v>0</v>
      </c>
      <c r="I459" s="10" t="s">
        <v>225</v>
      </c>
      <c r="J459" s="31" t="s">
        <v>1098</v>
      </c>
      <c r="K459" s="1">
        <f t="shared" si="21"/>
        <v>1102</v>
      </c>
      <c r="L459" s="1" t="str">
        <f t="shared" si="22"/>
        <v>44E</v>
      </c>
      <c r="M459" s="1" t="str">
        <f t="shared" si="23"/>
        <v>0x0044E</v>
      </c>
    </row>
    <row r="460" spans="1:13" x14ac:dyDescent="0.25">
      <c r="A460" s="16" t="s">
        <v>537</v>
      </c>
      <c r="B460" s="15" t="s">
        <v>10</v>
      </c>
      <c r="C460" s="16">
        <v>1104</v>
      </c>
      <c r="D460" s="5" t="s">
        <v>1601</v>
      </c>
      <c r="E460" s="15">
        <v>1</v>
      </c>
      <c r="F460" s="6" t="s">
        <v>835</v>
      </c>
      <c r="G460" s="10" t="s">
        <v>224</v>
      </c>
      <c r="H460" s="10">
        <v>0</v>
      </c>
      <c r="I460" s="10" t="s">
        <v>225</v>
      </c>
      <c r="J460" s="31" t="s">
        <v>1098</v>
      </c>
      <c r="K460" s="1">
        <f t="shared" si="21"/>
        <v>1103</v>
      </c>
      <c r="L460" s="1" t="str">
        <f t="shared" si="22"/>
        <v>44F</v>
      </c>
      <c r="M460" s="1" t="str">
        <f t="shared" si="23"/>
        <v>0x0044F</v>
      </c>
    </row>
    <row r="461" spans="1:13" x14ac:dyDescent="0.25">
      <c r="A461" s="16" t="s">
        <v>538</v>
      </c>
      <c r="B461" s="15" t="s">
        <v>10</v>
      </c>
      <c r="C461" s="16">
        <v>1105</v>
      </c>
      <c r="D461" s="5" t="s">
        <v>1602</v>
      </c>
      <c r="E461" s="15">
        <v>1</v>
      </c>
      <c r="F461" s="6" t="s">
        <v>834</v>
      </c>
      <c r="G461" s="10" t="s">
        <v>224</v>
      </c>
      <c r="H461" s="10">
        <v>0</v>
      </c>
      <c r="I461" s="10" t="s">
        <v>225</v>
      </c>
      <c r="J461" s="31" t="s">
        <v>1098</v>
      </c>
      <c r="K461" s="1">
        <f t="shared" si="21"/>
        <v>1104</v>
      </c>
      <c r="L461" s="1" t="str">
        <f t="shared" si="22"/>
        <v>450</v>
      </c>
      <c r="M461" s="1" t="str">
        <f t="shared" si="23"/>
        <v>0x00450</v>
      </c>
    </row>
    <row r="462" spans="1:13" ht="40.5" x14ac:dyDescent="0.25">
      <c r="A462" s="16" t="s">
        <v>277</v>
      </c>
      <c r="B462" s="15" t="s">
        <v>10</v>
      </c>
      <c r="C462" s="16">
        <v>1216</v>
      </c>
      <c r="D462" s="5" t="s">
        <v>1603</v>
      </c>
      <c r="E462" s="15">
        <v>1</v>
      </c>
      <c r="F462" s="16" t="s">
        <v>874</v>
      </c>
      <c r="G462" s="6" t="s">
        <v>278</v>
      </c>
      <c r="H462" s="18"/>
      <c r="I462" s="10"/>
      <c r="J462" s="31" t="s">
        <v>272</v>
      </c>
      <c r="K462" s="1">
        <f t="shared" si="21"/>
        <v>1215</v>
      </c>
      <c r="L462" s="1" t="str">
        <f t="shared" si="22"/>
        <v>4BF</v>
      </c>
      <c r="M462" s="1" t="str">
        <f t="shared" si="23"/>
        <v>0x004BF</v>
      </c>
    </row>
    <row r="463" spans="1:13" ht="60.75" x14ac:dyDescent="0.25">
      <c r="A463" s="16" t="s">
        <v>553</v>
      </c>
      <c r="B463" s="15" t="s">
        <v>10</v>
      </c>
      <c r="C463" s="16">
        <v>1217</v>
      </c>
      <c r="D463" s="5" t="s">
        <v>1604</v>
      </c>
      <c r="E463" s="15">
        <v>1</v>
      </c>
      <c r="F463" s="6" t="s">
        <v>667</v>
      </c>
      <c r="G463" s="10" t="s">
        <v>862</v>
      </c>
      <c r="H463" s="6"/>
      <c r="I463" s="10"/>
      <c r="J463" s="31" t="s">
        <v>1133</v>
      </c>
      <c r="K463" s="1">
        <f t="shared" si="21"/>
        <v>1216</v>
      </c>
      <c r="L463" s="1" t="str">
        <f t="shared" si="22"/>
        <v>4C0</v>
      </c>
      <c r="M463" s="1" t="str">
        <f t="shared" si="23"/>
        <v>0x004C0</v>
      </c>
    </row>
    <row r="464" spans="1:13" ht="40.5" x14ac:dyDescent="0.25">
      <c r="A464" s="16" t="s">
        <v>554</v>
      </c>
      <c r="B464" s="15" t="s">
        <v>10</v>
      </c>
      <c r="C464" s="16">
        <v>1218</v>
      </c>
      <c r="D464" s="5" t="s">
        <v>1605</v>
      </c>
      <c r="E464" s="15">
        <v>1</v>
      </c>
      <c r="F464" s="6" t="s">
        <v>668</v>
      </c>
      <c r="G464" s="10" t="s">
        <v>176</v>
      </c>
      <c r="H464" s="6">
        <v>0</v>
      </c>
      <c r="I464" s="6" t="s">
        <v>208</v>
      </c>
      <c r="J464" s="31" t="s">
        <v>1095</v>
      </c>
      <c r="K464" s="1">
        <f t="shared" si="21"/>
        <v>1217</v>
      </c>
      <c r="L464" s="1" t="str">
        <f t="shared" si="22"/>
        <v>4C1</v>
      </c>
      <c r="M464" s="1" t="str">
        <f t="shared" si="23"/>
        <v>0x004C1</v>
      </c>
    </row>
    <row r="465" spans="1:13" ht="40.5" x14ac:dyDescent="0.25">
      <c r="A465" s="16" t="s">
        <v>555</v>
      </c>
      <c r="B465" s="15" t="s">
        <v>10</v>
      </c>
      <c r="C465" s="16">
        <v>1219</v>
      </c>
      <c r="D465" s="5" t="s">
        <v>1606</v>
      </c>
      <c r="E465" s="15">
        <v>1</v>
      </c>
      <c r="F465" s="6" t="s">
        <v>669</v>
      </c>
      <c r="G465" s="10" t="s">
        <v>381</v>
      </c>
      <c r="H465" s="18">
        <v>0</v>
      </c>
      <c r="I465" s="10" t="s">
        <v>863</v>
      </c>
      <c r="J465" s="31" t="s">
        <v>1102</v>
      </c>
      <c r="K465" s="1">
        <f t="shared" si="21"/>
        <v>1218</v>
      </c>
      <c r="L465" s="1" t="str">
        <f t="shared" si="22"/>
        <v>4C2</v>
      </c>
      <c r="M465" s="1" t="str">
        <f t="shared" si="23"/>
        <v>0x004C2</v>
      </c>
    </row>
    <row r="466" spans="1:13" ht="81" x14ac:dyDescent="0.25">
      <c r="A466" s="16" t="s">
        <v>556</v>
      </c>
      <c r="B466" s="15" t="s">
        <v>10</v>
      </c>
      <c r="C466" s="16">
        <v>1220</v>
      </c>
      <c r="D466" s="5" t="s">
        <v>1607</v>
      </c>
      <c r="E466" s="15">
        <v>1</v>
      </c>
      <c r="F466" s="6" t="s">
        <v>670</v>
      </c>
      <c r="G466" s="10" t="s">
        <v>864</v>
      </c>
      <c r="H466" s="6"/>
      <c r="I466" s="10"/>
      <c r="J466" s="31" t="s">
        <v>1134</v>
      </c>
      <c r="K466" s="1">
        <f t="shared" si="21"/>
        <v>1219</v>
      </c>
      <c r="L466" s="1" t="str">
        <f t="shared" si="22"/>
        <v>4C3</v>
      </c>
      <c r="M466" s="1" t="str">
        <f t="shared" si="23"/>
        <v>0x004C3</v>
      </c>
    </row>
    <row r="467" spans="1:13" ht="60.75" x14ac:dyDescent="0.25">
      <c r="A467" s="16" t="s">
        <v>557</v>
      </c>
      <c r="B467" s="15" t="s">
        <v>10</v>
      </c>
      <c r="C467" s="16">
        <v>1221</v>
      </c>
      <c r="D467" s="5" t="s">
        <v>1608</v>
      </c>
      <c r="E467" s="15">
        <v>1</v>
      </c>
      <c r="F467" s="6" t="s">
        <v>671</v>
      </c>
      <c r="G467" s="10" t="s">
        <v>381</v>
      </c>
      <c r="H467" s="18">
        <v>0</v>
      </c>
      <c r="I467" s="10" t="s">
        <v>863</v>
      </c>
      <c r="J467" s="31" t="s">
        <v>1102</v>
      </c>
      <c r="K467" s="1">
        <f t="shared" si="21"/>
        <v>1220</v>
      </c>
      <c r="L467" s="1" t="str">
        <f t="shared" si="22"/>
        <v>4C4</v>
      </c>
      <c r="M467" s="1" t="str">
        <f t="shared" si="23"/>
        <v>0x004C4</v>
      </c>
    </row>
    <row r="468" spans="1:13" ht="40.5" x14ac:dyDescent="0.25">
      <c r="A468" s="16" t="s">
        <v>609</v>
      </c>
      <c r="B468" s="15" t="s">
        <v>10</v>
      </c>
      <c r="C468" s="16">
        <v>1225</v>
      </c>
      <c r="D468" s="5" t="s">
        <v>1609</v>
      </c>
      <c r="E468" s="15">
        <v>13</v>
      </c>
      <c r="F468" s="16" t="s">
        <v>609</v>
      </c>
      <c r="G468" s="10" t="s">
        <v>859</v>
      </c>
      <c r="H468" s="10"/>
      <c r="I468" s="10"/>
      <c r="J468" s="31" t="s">
        <v>1127</v>
      </c>
      <c r="K468" s="1">
        <f t="shared" si="21"/>
        <v>1224</v>
      </c>
      <c r="L468" s="1" t="str">
        <f t="shared" si="22"/>
        <v>4C8</v>
      </c>
      <c r="M468" s="1" t="str">
        <f t="shared" si="23"/>
        <v>0x004C8</v>
      </c>
    </row>
    <row r="469" spans="1:13" ht="40.5" x14ac:dyDescent="0.25">
      <c r="A469" s="16" t="s">
        <v>610</v>
      </c>
      <c r="B469" s="15" t="s">
        <v>10</v>
      </c>
      <c r="C469" s="16">
        <v>1238</v>
      </c>
      <c r="D469" s="5" t="s">
        <v>1610</v>
      </c>
      <c r="E469" s="15">
        <v>5</v>
      </c>
      <c r="F469" s="16" t="s">
        <v>610</v>
      </c>
      <c r="G469" s="10" t="s">
        <v>859</v>
      </c>
      <c r="H469" s="10"/>
      <c r="I469" s="10"/>
      <c r="J469" s="31" t="s">
        <v>1127</v>
      </c>
      <c r="K469" s="1">
        <f t="shared" si="21"/>
        <v>1237</v>
      </c>
      <c r="L469" s="1" t="str">
        <f t="shared" si="22"/>
        <v>4D5</v>
      </c>
      <c r="M469" s="1" t="str">
        <f t="shared" si="23"/>
        <v>0x004D5</v>
      </c>
    </row>
    <row r="470" spans="1:13" ht="121.5" x14ac:dyDescent="0.25">
      <c r="A470" s="16" t="s">
        <v>611</v>
      </c>
      <c r="B470" s="15" t="s">
        <v>10</v>
      </c>
      <c r="C470" s="16">
        <v>1243</v>
      </c>
      <c r="D470" s="5" t="s">
        <v>1611</v>
      </c>
      <c r="E470" s="15">
        <v>3</v>
      </c>
      <c r="F470" s="16" t="s">
        <v>611</v>
      </c>
      <c r="G470" s="10" t="s">
        <v>860</v>
      </c>
      <c r="H470" s="10"/>
      <c r="I470" s="10"/>
      <c r="J470" s="31" t="s">
        <v>1135</v>
      </c>
      <c r="K470" s="1">
        <f t="shared" si="21"/>
        <v>1242</v>
      </c>
      <c r="L470" s="1" t="str">
        <f t="shared" si="22"/>
        <v>4DA</v>
      </c>
      <c r="M470" s="1" t="str">
        <f t="shared" si="23"/>
        <v>0x004DA</v>
      </c>
    </row>
    <row r="471" spans="1:13" ht="121.5" x14ac:dyDescent="0.25">
      <c r="A471" s="16" t="s">
        <v>612</v>
      </c>
      <c r="B471" s="15" t="s">
        <v>10</v>
      </c>
      <c r="C471" s="16">
        <v>1246</v>
      </c>
      <c r="D471" s="5" t="s">
        <v>1612</v>
      </c>
      <c r="E471" s="15">
        <v>3</v>
      </c>
      <c r="F471" s="16" t="s">
        <v>612</v>
      </c>
      <c r="G471" s="10" t="s">
        <v>860</v>
      </c>
      <c r="H471" s="10"/>
      <c r="I471" s="10"/>
      <c r="J471" s="31" t="s">
        <v>1135</v>
      </c>
      <c r="K471" s="1">
        <f t="shared" si="21"/>
        <v>1245</v>
      </c>
      <c r="L471" s="1" t="str">
        <f t="shared" si="22"/>
        <v>4DD</v>
      </c>
      <c r="M471" s="1" t="str">
        <f t="shared" si="23"/>
        <v>0x004DD</v>
      </c>
    </row>
    <row r="472" spans="1:13" ht="81" x14ac:dyDescent="0.25">
      <c r="A472" s="16" t="s">
        <v>840</v>
      </c>
      <c r="B472" s="15" t="s">
        <v>10</v>
      </c>
      <c r="C472" s="16">
        <v>1249</v>
      </c>
      <c r="D472" s="5" t="s">
        <v>1613</v>
      </c>
      <c r="E472" s="15">
        <v>1</v>
      </c>
      <c r="F472" s="16" t="s">
        <v>911</v>
      </c>
      <c r="G472" s="10" t="s">
        <v>866</v>
      </c>
      <c r="H472" s="10"/>
      <c r="I472" s="10"/>
      <c r="J472" s="29" t="s">
        <v>1004</v>
      </c>
      <c r="K472" s="1">
        <f t="shared" si="21"/>
        <v>1248</v>
      </c>
      <c r="L472" s="1" t="str">
        <f t="shared" si="22"/>
        <v>4E0</v>
      </c>
      <c r="M472" s="1" t="str">
        <f t="shared" si="23"/>
        <v>0x004E0</v>
      </c>
    </row>
    <row r="473" spans="1:13" ht="40.5" x14ac:dyDescent="0.25">
      <c r="A473" s="16" t="s">
        <v>539</v>
      </c>
      <c r="B473" s="15" t="s">
        <v>10</v>
      </c>
      <c r="C473" s="16">
        <v>1250</v>
      </c>
      <c r="D473" s="5" t="s">
        <v>1614</v>
      </c>
      <c r="E473" s="15">
        <v>1</v>
      </c>
      <c r="F473" s="16" t="s">
        <v>910</v>
      </c>
      <c r="G473" s="10" t="s">
        <v>540</v>
      </c>
      <c r="H473" s="10"/>
      <c r="I473" s="10"/>
      <c r="J473" s="31" t="s">
        <v>1136</v>
      </c>
      <c r="K473" s="1">
        <f t="shared" si="21"/>
        <v>1249</v>
      </c>
      <c r="L473" s="1" t="str">
        <f t="shared" si="22"/>
        <v>4E1</v>
      </c>
      <c r="M473" s="1" t="str">
        <f t="shared" si="23"/>
        <v>0x004E1</v>
      </c>
    </row>
    <row r="474" spans="1:13" ht="40.5" x14ac:dyDescent="0.25">
      <c r="A474" s="16" t="s">
        <v>1075</v>
      </c>
      <c r="B474" s="15" t="s">
        <v>10</v>
      </c>
      <c r="C474" s="16">
        <v>1251</v>
      </c>
      <c r="D474" s="5" t="s">
        <v>1615</v>
      </c>
      <c r="E474" s="16">
        <v>1</v>
      </c>
      <c r="F474" s="16" t="s">
        <v>1075</v>
      </c>
      <c r="G474" s="6"/>
      <c r="H474" s="10"/>
      <c r="I474" s="10"/>
      <c r="J474" s="31" t="s">
        <v>1137</v>
      </c>
      <c r="K474" s="1">
        <f t="shared" si="21"/>
        <v>1250</v>
      </c>
      <c r="L474" s="1" t="str">
        <f t="shared" si="22"/>
        <v>4E2</v>
      </c>
      <c r="M474" s="1" t="str">
        <f t="shared" si="23"/>
        <v>0x004E2</v>
      </c>
    </row>
    <row r="475" spans="1:13" ht="40.5" x14ac:dyDescent="0.25">
      <c r="A475" s="16" t="s">
        <v>1076</v>
      </c>
      <c r="B475" s="15" t="s">
        <v>10</v>
      </c>
      <c r="C475" s="16">
        <v>1252</v>
      </c>
      <c r="D475" s="5" t="s">
        <v>1616</v>
      </c>
      <c r="E475" s="16">
        <v>1</v>
      </c>
      <c r="F475" s="16" t="s">
        <v>1076</v>
      </c>
      <c r="G475" s="6"/>
      <c r="H475" s="6"/>
      <c r="I475" s="6"/>
      <c r="J475" s="31" t="s">
        <v>1137</v>
      </c>
      <c r="K475" s="1">
        <f t="shared" si="21"/>
        <v>1251</v>
      </c>
      <c r="L475" s="1" t="str">
        <f t="shared" si="22"/>
        <v>4E3</v>
      </c>
      <c r="M475" s="1" t="str">
        <f t="shared" si="23"/>
        <v>0x004E3</v>
      </c>
    </row>
    <row r="476" spans="1:13" ht="40.5" x14ac:dyDescent="0.25">
      <c r="A476" s="16" t="s">
        <v>1077</v>
      </c>
      <c r="B476" s="15" t="s">
        <v>10</v>
      </c>
      <c r="C476" s="16">
        <v>1253</v>
      </c>
      <c r="D476" s="5" t="s">
        <v>1617</v>
      </c>
      <c r="E476" s="16">
        <v>1</v>
      </c>
      <c r="F476" s="16" t="s">
        <v>1077</v>
      </c>
      <c r="G476" s="6"/>
      <c r="H476" s="6"/>
      <c r="I476" s="6"/>
      <c r="J476" s="31" t="s">
        <v>1137</v>
      </c>
      <c r="K476" s="1">
        <f t="shared" si="21"/>
        <v>1252</v>
      </c>
      <c r="L476" s="1" t="str">
        <f t="shared" si="22"/>
        <v>4E4</v>
      </c>
      <c r="M476" s="1" t="str">
        <f t="shared" si="23"/>
        <v>0x004E4</v>
      </c>
    </row>
    <row r="477" spans="1:13" ht="40.5" x14ac:dyDescent="0.25">
      <c r="A477" s="16" t="s">
        <v>1078</v>
      </c>
      <c r="B477" s="15" t="s">
        <v>10</v>
      </c>
      <c r="C477" s="16">
        <v>1254</v>
      </c>
      <c r="D477" s="5" t="s">
        <v>1618</v>
      </c>
      <c r="E477" s="15">
        <v>1</v>
      </c>
      <c r="F477" s="16" t="s">
        <v>1078</v>
      </c>
      <c r="G477" s="6"/>
      <c r="H477" s="6"/>
      <c r="I477" s="6"/>
      <c r="J477" s="31" t="s">
        <v>1137</v>
      </c>
      <c r="K477" s="1">
        <f t="shared" si="21"/>
        <v>1253</v>
      </c>
      <c r="L477" s="1" t="str">
        <f t="shared" si="22"/>
        <v>4E5</v>
      </c>
      <c r="M477" s="1" t="str">
        <f t="shared" si="23"/>
        <v>0x004E5</v>
      </c>
    </row>
    <row r="478" spans="1:13" ht="40.5" x14ac:dyDescent="0.25">
      <c r="A478" s="16" t="s">
        <v>1079</v>
      </c>
      <c r="B478" s="15" t="s">
        <v>10</v>
      </c>
      <c r="C478" s="16">
        <v>1255</v>
      </c>
      <c r="D478" s="5" t="s">
        <v>1619</v>
      </c>
      <c r="E478" s="15">
        <v>1</v>
      </c>
      <c r="F478" s="16" t="s">
        <v>1079</v>
      </c>
      <c r="G478" s="6"/>
      <c r="H478" s="6"/>
      <c r="I478" s="6"/>
      <c r="J478" s="31" t="s">
        <v>1137</v>
      </c>
      <c r="K478" s="1">
        <f t="shared" si="21"/>
        <v>1254</v>
      </c>
      <c r="L478" s="1" t="str">
        <f t="shared" si="22"/>
        <v>4E6</v>
      </c>
      <c r="M478" s="1" t="str">
        <f t="shared" si="23"/>
        <v>0x004E6</v>
      </c>
    </row>
    <row r="479" spans="1:13" ht="40.5" x14ac:dyDescent="0.25">
      <c r="A479" s="16" t="s">
        <v>1080</v>
      </c>
      <c r="B479" s="15" t="s">
        <v>10</v>
      </c>
      <c r="C479" s="16">
        <v>1256</v>
      </c>
      <c r="D479" s="5" t="s">
        <v>1620</v>
      </c>
      <c r="E479" s="15">
        <v>1</v>
      </c>
      <c r="F479" s="16" t="s">
        <v>1080</v>
      </c>
      <c r="G479" s="6"/>
      <c r="H479" s="6"/>
      <c r="I479" s="6"/>
      <c r="J479" s="31" t="s">
        <v>1137</v>
      </c>
      <c r="K479" s="1">
        <f t="shared" si="21"/>
        <v>1255</v>
      </c>
      <c r="L479" s="1" t="str">
        <f t="shared" si="22"/>
        <v>4E7</v>
      </c>
      <c r="M479" s="1" t="str">
        <f t="shared" si="23"/>
        <v>0x004E7</v>
      </c>
    </row>
    <row r="480" spans="1:13" ht="40.5" x14ac:dyDescent="0.25">
      <c r="A480" s="16" t="s">
        <v>1081</v>
      </c>
      <c r="B480" s="15" t="s">
        <v>10</v>
      </c>
      <c r="C480" s="16">
        <v>1257</v>
      </c>
      <c r="D480" s="5" t="s">
        <v>1621</v>
      </c>
      <c r="E480" s="15">
        <v>1</v>
      </c>
      <c r="F480" s="16" t="s">
        <v>1081</v>
      </c>
      <c r="G480" s="6"/>
      <c r="H480" s="6"/>
      <c r="I480" s="6"/>
      <c r="J480" s="31" t="s">
        <v>1137</v>
      </c>
      <c r="K480" s="1">
        <f t="shared" si="21"/>
        <v>1256</v>
      </c>
      <c r="L480" s="1" t="str">
        <f t="shared" si="22"/>
        <v>4E8</v>
      </c>
      <c r="M480" s="1" t="str">
        <f t="shared" si="23"/>
        <v>0x004E8</v>
      </c>
    </row>
    <row r="481" spans="1:13" ht="40.5" x14ac:dyDescent="0.25">
      <c r="A481" s="16" t="s">
        <v>1082</v>
      </c>
      <c r="B481" s="15" t="s">
        <v>10</v>
      </c>
      <c r="C481" s="16">
        <v>1258</v>
      </c>
      <c r="D481" s="5" t="s">
        <v>1622</v>
      </c>
      <c r="E481" s="15">
        <v>1</v>
      </c>
      <c r="F481" s="16" t="s">
        <v>1082</v>
      </c>
      <c r="G481" s="6"/>
      <c r="H481" s="6"/>
      <c r="I481" s="6"/>
      <c r="J481" s="31" t="s">
        <v>1137</v>
      </c>
      <c r="K481" s="1">
        <f t="shared" si="21"/>
        <v>1257</v>
      </c>
      <c r="L481" s="1" t="str">
        <f t="shared" si="22"/>
        <v>4E9</v>
      </c>
      <c r="M481" s="1" t="str">
        <f t="shared" si="23"/>
        <v>0x004E9</v>
      </c>
    </row>
    <row r="482" spans="1:13" ht="324" x14ac:dyDescent="0.25">
      <c r="A482" s="16" t="s">
        <v>558</v>
      </c>
      <c r="B482" s="15" t="s">
        <v>10</v>
      </c>
      <c r="C482" s="16">
        <v>1259</v>
      </c>
      <c r="D482" s="5" t="s">
        <v>1623</v>
      </c>
      <c r="E482" s="15">
        <v>1</v>
      </c>
      <c r="F482" s="6" t="s">
        <v>937</v>
      </c>
      <c r="G482" s="6" t="s">
        <v>938</v>
      </c>
      <c r="H482" s="6"/>
      <c r="I482" s="6"/>
      <c r="J482" s="31" t="s">
        <v>558</v>
      </c>
      <c r="K482" s="1">
        <f t="shared" si="21"/>
        <v>1258</v>
      </c>
      <c r="L482" s="1" t="str">
        <f t="shared" si="22"/>
        <v>4EA</v>
      </c>
      <c r="M482" s="1" t="str">
        <f t="shared" si="23"/>
        <v>0x004EA</v>
      </c>
    </row>
    <row r="483" spans="1:13" ht="324" x14ac:dyDescent="0.25">
      <c r="A483" s="16" t="s">
        <v>559</v>
      </c>
      <c r="B483" s="15" t="s">
        <v>10</v>
      </c>
      <c r="C483" s="16">
        <v>1260</v>
      </c>
      <c r="D483" s="5" t="s">
        <v>1624</v>
      </c>
      <c r="E483" s="15">
        <v>1</v>
      </c>
      <c r="F483" s="6" t="s">
        <v>942</v>
      </c>
      <c r="G483" s="6" t="s">
        <v>939</v>
      </c>
      <c r="H483" s="6"/>
      <c r="I483" s="6"/>
      <c r="J483" s="31" t="s">
        <v>559</v>
      </c>
      <c r="K483" s="1">
        <f t="shared" si="21"/>
        <v>1259</v>
      </c>
      <c r="L483" s="1" t="str">
        <f t="shared" si="22"/>
        <v>4EB</v>
      </c>
      <c r="M483" s="1" t="str">
        <f t="shared" si="23"/>
        <v>0x004EB</v>
      </c>
    </row>
    <row r="484" spans="1:13" ht="324" x14ac:dyDescent="0.25">
      <c r="A484" s="16" t="s">
        <v>560</v>
      </c>
      <c r="B484" s="15" t="s">
        <v>10</v>
      </c>
      <c r="C484" s="16">
        <v>1261</v>
      </c>
      <c r="D484" s="5" t="s">
        <v>1625</v>
      </c>
      <c r="E484" s="15">
        <v>1</v>
      </c>
      <c r="F484" s="6" t="s">
        <v>943</v>
      </c>
      <c r="G484" s="6" t="s">
        <v>940</v>
      </c>
      <c r="H484" s="6"/>
      <c r="I484" s="6"/>
      <c r="J484" s="31" t="s">
        <v>560</v>
      </c>
      <c r="K484" s="1">
        <f t="shared" si="21"/>
        <v>1260</v>
      </c>
      <c r="L484" s="1" t="str">
        <f t="shared" si="22"/>
        <v>4EC</v>
      </c>
      <c r="M484" s="1" t="str">
        <f t="shared" si="23"/>
        <v>0x004EC</v>
      </c>
    </row>
    <row r="485" spans="1:13" ht="324" x14ac:dyDescent="0.25">
      <c r="A485" s="16" t="s">
        <v>561</v>
      </c>
      <c r="B485" s="15" t="s">
        <v>10</v>
      </c>
      <c r="C485" s="16">
        <v>1262</v>
      </c>
      <c r="D485" s="5" t="s">
        <v>1626</v>
      </c>
      <c r="E485" s="15">
        <v>1</v>
      </c>
      <c r="F485" s="6" t="s">
        <v>944</v>
      </c>
      <c r="G485" s="6" t="s">
        <v>941</v>
      </c>
      <c r="H485" s="6"/>
      <c r="I485" s="6"/>
      <c r="J485" s="31" t="s">
        <v>561</v>
      </c>
      <c r="K485" s="1">
        <f t="shared" si="21"/>
        <v>1261</v>
      </c>
      <c r="L485" s="1" t="str">
        <f t="shared" si="22"/>
        <v>4ED</v>
      </c>
      <c r="M485" s="1" t="str">
        <f t="shared" si="23"/>
        <v>0x004ED</v>
      </c>
    </row>
    <row r="486" spans="1:13" ht="324" x14ac:dyDescent="0.25">
      <c r="A486" s="16" t="s">
        <v>562</v>
      </c>
      <c r="B486" s="15" t="s">
        <v>10</v>
      </c>
      <c r="C486" s="16">
        <v>1263</v>
      </c>
      <c r="D486" s="5" t="s">
        <v>1627</v>
      </c>
      <c r="E486" s="15">
        <v>1</v>
      </c>
      <c r="F486" s="6" t="s">
        <v>1700</v>
      </c>
      <c r="G486" s="6" t="s">
        <v>1701</v>
      </c>
      <c r="H486" s="6"/>
      <c r="I486" s="6"/>
      <c r="J486" s="31" t="s">
        <v>562</v>
      </c>
      <c r="K486" s="1">
        <f t="shared" si="21"/>
        <v>1262</v>
      </c>
      <c r="L486" s="1" t="str">
        <f t="shared" si="22"/>
        <v>4EE</v>
      </c>
      <c r="M486" s="1" t="str">
        <f t="shared" si="23"/>
        <v>0x004EE</v>
      </c>
    </row>
    <row r="487" spans="1:13" ht="324" x14ac:dyDescent="0.25">
      <c r="A487" s="16" t="s">
        <v>563</v>
      </c>
      <c r="B487" s="15" t="s">
        <v>10</v>
      </c>
      <c r="C487" s="16">
        <v>1264</v>
      </c>
      <c r="D487" s="5" t="s">
        <v>1628</v>
      </c>
      <c r="E487" s="15">
        <v>1</v>
      </c>
      <c r="F487" s="6" t="s">
        <v>943</v>
      </c>
      <c r="G487" s="6" t="s">
        <v>1702</v>
      </c>
      <c r="H487" s="6"/>
      <c r="I487" s="6"/>
      <c r="J487" s="31" t="s">
        <v>563</v>
      </c>
      <c r="K487" s="1">
        <f t="shared" si="21"/>
        <v>1263</v>
      </c>
      <c r="L487" s="1" t="str">
        <f t="shared" si="22"/>
        <v>4EF</v>
      </c>
      <c r="M487" s="1" t="str">
        <f t="shared" si="23"/>
        <v>0x004EF</v>
      </c>
    </row>
    <row r="488" spans="1:13" x14ac:dyDescent="0.25">
      <c r="A488" s="16" t="s">
        <v>564</v>
      </c>
      <c r="B488" s="15" t="s">
        <v>10</v>
      </c>
      <c r="C488" s="16">
        <v>1265</v>
      </c>
      <c r="D488" s="5" t="s">
        <v>1629</v>
      </c>
      <c r="E488" s="15">
        <v>1</v>
      </c>
      <c r="F488" s="6" t="s">
        <v>829</v>
      </c>
      <c r="G488" s="10" t="s">
        <v>521</v>
      </c>
      <c r="H488" s="6">
        <v>-16</v>
      </c>
      <c r="I488" s="10" t="s">
        <v>522</v>
      </c>
      <c r="J488" s="31" t="s">
        <v>1131</v>
      </c>
      <c r="K488" s="1">
        <f t="shared" si="21"/>
        <v>1264</v>
      </c>
      <c r="L488" s="1" t="str">
        <f t="shared" si="22"/>
        <v>4F0</v>
      </c>
      <c r="M488" s="1" t="str">
        <f t="shared" si="23"/>
        <v>0x004F0</v>
      </c>
    </row>
    <row r="489" spans="1:13" x14ac:dyDescent="0.25">
      <c r="A489" s="16" t="s">
        <v>565</v>
      </c>
      <c r="B489" s="15" t="s">
        <v>10</v>
      </c>
      <c r="C489" s="16">
        <v>1266</v>
      </c>
      <c r="D489" s="5" t="s">
        <v>1630</v>
      </c>
      <c r="E489" s="6">
        <v>1</v>
      </c>
      <c r="F489" s="6" t="s">
        <v>829</v>
      </c>
      <c r="G489" s="10" t="s">
        <v>521</v>
      </c>
      <c r="H489" s="6">
        <v>-16</v>
      </c>
      <c r="I489" s="10" t="s">
        <v>522</v>
      </c>
      <c r="J489" s="31" t="s">
        <v>1131</v>
      </c>
      <c r="K489" s="1">
        <f t="shared" si="21"/>
        <v>1265</v>
      </c>
      <c r="L489" s="1" t="str">
        <f t="shared" si="22"/>
        <v>4F1</v>
      </c>
      <c r="M489" s="1" t="str">
        <f t="shared" si="23"/>
        <v>0x004F1</v>
      </c>
    </row>
    <row r="490" spans="1:13" x14ac:dyDescent="0.25">
      <c r="A490" s="10" t="s">
        <v>566</v>
      </c>
      <c r="B490" s="6" t="s">
        <v>10</v>
      </c>
      <c r="C490" s="15">
        <v>1267</v>
      </c>
      <c r="D490" s="5" t="s">
        <v>1631</v>
      </c>
      <c r="E490" s="6">
        <v>1</v>
      </c>
      <c r="F490" s="6" t="s">
        <v>829</v>
      </c>
      <c r="G490" s="10" t="s">
        <v>521</v>
      </c>
      <c r="H490" s="6">
        <v>-16</v>
      </c>
      <c r="I490" s="10" t="s">
        <v>522</v>
      </c>
      <c r="J490" s="31" t="s">
        <v>1131</v>
      </c>
      <c r="K490" s="1">
        <f t="shared" si="21"/>
        <v>1266</v>
      </c>
      <c r="L490" s="1" t="str">
        <f t="shared" si="22"/>
        <v>4F2</v>
      </c>
      <c r="M490" s="1" t="str">
        <f t="shared" si="23"/>
        <v>0x004F2</v>
      </c>
    </row>
    <row r="491" spans="1:13" x14ac:dyDescent="0.25">
      <c r="A491" s="10" t="s">
        <v>567</v>
      </c>
      <c r="B491" s="6" t="s">
        <v>10</v>
      </c>
      <c r="C491" s="15">
        <v>1268</v>
      </c>
      <c r="D491" s="5" t="s">
        <v>1632</v>
      </c>
      <c r="E491" s="6">
        <v>1</v>
      </c>
      <c r="F491" s="6" t="s">
        <v>829</v>
      </c>
      <c r="G491" s="10" t="s">
        <v>521</v>
      </c>
      <c r="H491" s="6">
        <v>-16</v>
      </c>
      <c r="I491" s="10" t="s">
        <v>522</v>
      </c>
      <c r="J491" s="31" t="s">
        <v>1131</v>
      </c>
      <c r="K491" s="1">
        <f t="shared" si="21"/>
        <v>1267</v>
      </c>
      <c r="L491" s="1" t="str">
        <f t="shared" si="22"/>
        <v>4F3</v>
      </c>
      <c r="M491" s="1" t="str">
        <f t="shared" si="23"/>
        <v>0x004F3</v>
      </c>
    </row>
    <row r="492" spans="1:13" x14ac:dyDescent="0.25">
      <c r="A492" s="10" t="s">
        <v>568</v>
      </c>
      <c r="B492" s="6" t="s">
        <v>10</v>
      </c>
      <c r="C492" s="15">
        <v>1269</v>
      </c>
      <c r="D492" s="5" t="s">
        <v>1633</v>
      </c>
      <c r="E492" s="6">
        <v>1</v>
      </c>
      <c r="F492" s="6" t="s">
        <v>829</v>
      </c>
      <c r="G492" s="10" t="s">
        <v>521</v>
      </c>
      <c r="H492" s="6">
        <v>-16</v>
      </c>
      <c r="I492" s="10" t="s">
        <v>522</v>
      </c>
      <c r="J492" s="31" t="s">
        <v>1131</v>
      </c>
      <c r="K492" s="1">
        <f t="shared" si="21"/>
        <v>1268</v>
      </c>
      <c r="L492" s="1" t="str">
        <f t="shared" si="22"/>
        <v>4F4</v>
      </c>
      <c r="M492" s="1" t="str">
        <f t="shared" si="23"/>
        <v>0x004F4</v>
      </c>
    </row>
    <row r="493" spans="1:13" x14ac:dyDescent="0.25">
      <c r="A493" s="10" t="s">
        <v>569</v>
      </c>
      <c r="B493" s="6" t="s">
        <v>10</v>
      </c>
      <c r="C493" s="15">
        <v>1270</v>
      </c>
      <c r="D493" s="5" t="s">
        <v>1634</v>
      </c>
      <c r="E493" s="6">
        <v>1</v>
      </c>
      <c r="F493" s="6" t="s">
        <v>829</v>
      </c>
      <c r="G493" s="10" t="s">
        <v>521</v>
      </c>
      <c r="H493" s="6">
        <v>-16</v>
      </c>
      <c r="I493" s="10" t="s">
        <v>522</v>
      </c>
      <c r="J493" s="31" t="s">
        <v>1131</v>
      </c>
      <c r="K493" s="1">
        <f t="shared" si="21"/>
        <v>1269</v>
      </c>
      <c r="L493" s="1" t="str">
        <f t="shared" si="22"/>
        <v>4F5</v>
      </c>
      <c r="M493" s="1" t="str">
        <f t="shared" si="23"/>
        <v>0x004F5</v>
      </c>
    </row>
    <row r="494" spans="1:13" x14ac:dyDescent="0.25">
      <c r="A494" s="10" t="s">
        <v>570</v>
      </c>
      <c r="B494" s="6" t="s">
        <v>10</v>
      </c>
      <c r="C494" s="15">
        <v>1271</v>
      </c>
      <c r="D494" s="5" t="s">
        <v>1635</v>
      </c>
      <c r="E494" s="6">
        <v>1</v>
      </c>
      <c r="F494" s="6" t="s">
        <v>829</v>
      </c>
      <c r="G494" s="10" t="s">
        <v>521</v>
      </c>
      <c r="H494" s="6">
        <v>-16</v>
      </c>
      <c r="I494" s="10" t="s">
        <v>522</v>
      </c>
      <c r="J494" s="31" t="s">
        <v>1131</v>
      </c>
      <c r="K494" s="1">
        <f t="shared" si="21"/>
        <v>1270</v>
      </c>
      <c r="L494" s="1" t="str">
        <f t="shared" si="22"/>
        <v>4F6</v>
      </c>
      <c r="M494" s="1" t="str">
        <f t="shared" si="23"/>
        <v>0x004F6</v>
      </c>
    </row>
    <row r="495" spans="1:13" x14ac:dyDescent="0.25">
      <c r="A495" s="10" t="s">
        <v>571</v>
      </c>
      <c r="B495" s="6" t="s">
        <v>10</v>
      </c>
      <c r="C495" s="15">
        <v>1272</v>
      </c>
      <c r="D495" s="5" t="s">
        <v>1636</v>
      </c>
      <c r="E495" s="6">
        <v>1</v>
      </c>
      <c r="F495" s="6" t="s">
        <v>829</v>
      </c>
      <c r="G495" s="10" t="s">
        <v>521</v>
      </c>
      <c r="H495" s="6">
        <v>-16</v>
      </c>
      <c r="I495" s="10" t="s">
        <v>522</v>
      </c>
      <c r="J495" s="31" t="s">
        <v>1131</v>
      </c>
      <c r="K495" s="1">
        <f t="shared" si="21"/>
        <v>1271</v>
      </c>
      <c r="L495" s="1" t="str">
        <f t="shared" si="22"/>
        <v>4F7</v>
      </c>
      <c r="M495" s="1" t="str">
        <f t="shared" si="23"/>
        <v>0x004F7</v>
      </c>
    </row>
    <row r="496" spans="1:13" ht="40.5" x14ac:dyDescent="0.25">
      <c r="A496" s="10" t="s">
        <v>572</v>
      </c>
      <c r="B496" s="6" t="s">
        <v>10</v>
      </c>
      <c r="C496" s="15">
        <v>1273</v>
      </c>
      <c r="D496" s="5" t="s">
        <v>1637</v>
      </c>
      <c r="E496" s="6">
        <v>2</v>
      </c>
      <c r="F496" s="6" t="s">
        <v>830</v>
      </c>
      <c r="G496" s="10" t="s">
        <v>526</v>
      </c>
      <c r="H496" s="10">
        <v>-8224768</v>
      </c>
      <c r="I496" s="10" t="s">
        <v>843</v>
      </c>
      <c r="J496" s="31" t="s">
        <v>1132</v>
      </c>
      <c r="K496" s="1">
        <f t="shared" si="21"/>
        <v>1272</v>
      </c>
      <c r="L496" s="1" t="str">
        <f t="shared" si="22"/>
        <v>4F8</v>
      </c>
      <c r="M496" s="1" t="str">
        <f t="shared" si="23"/>
        <v>0x004F8</v>
      </c>
    </row>
    <row r="497" spans="1:13" ht="40.5" x14ac:dyDescent="0.25">
      <c r="A497" s="10" t="s">
        <v>573</v>
      </c>
      <c r="B497" s="6" t="s">
        <v>10</v>
      </c>
      <c r="C497" s="15">
        <v>1275</v>
      </c>
      <c r="D497" s="5" t="s">
        <v>1638</v>
      </c>
      <c r="E497" s="6">
        <v>2</v>
      </c>
      <c r="F497" s="6" t="s">
        <v>830</v>
      </c>
      <c r="G497" s="10" t="s">
        <v>526</v>
      </c>
      <c r="H497" s="10">
        <v>-8224768</v>
      </c>
      <c r="I497" s="10" t="s">
        <v>843</v>
      </c>
      <c r="J497" s="31" t="s">
        <v>1132</v>
      </c>
      <c r="K497" s="1">
        <f t="shared" si="21"/>
        <v>1274</v>
      </c>
      <c r="L497" s="1" t="str">
        <f t="shared" si="22"/>
        <v>4FA</v>
      </c>
      <c r="M497" s="1" t="str">
        <f t="shared" si="23"/>
        <v>0x004FA</v>
      </c>
    </row>
    <row r="498" spans="1:13" ht="40.5" x14ac:dyDescent="0.25">
      <c r="A498" s="10" t="s">
        <v>574</v>
      </c>
      <c r="B498" s="6" t="s">
        <v>10</v>
      </c>
      <c r="C498" s="15">
        <v>1277</v>
      </c>
      <c r="D498" s="5" t="s">
        <v>1639</v>
      </c>
      <c r="E498" s="6">
        <v>2</v>
      </c>
      <c r="F498" s="6" t="s">
        <v>830</v>
      </c>
      <c r="G498" s="10" t="s">
        <v>526</v>
      </c>
      <c r="H498" s="10">
        <v>-8224768</v>
      </c>
      <c r="I498" s="10" t="s">
        <v>843</v>
      </c>
      <c r="J498" s="31" t="s">
        <v>1132</v>
      </c>
      <c r="K498" s="1">
        <f t="shared" si="21"/>
        <v>1276</v>
      </c>
      <c r="L498" s="1" t="str">
        <f t="shared" si="22"/>
        <v>4FC</v>
      </c>
      <c r="M498" s="1" t="str">
        <f t="shared" si="23"/>
        <v>0x004FC</v>
      </c>
    </row>
    <row r="499" spans="1:13" ht="40.5" x14ac:dyDescent="0.25">
      <c r="A499" s="10" t="s">
        <v>575</v>
      </c>
      <c r="B499" s="6" t="s">
        <v>10</v>
      </c>
      <c r="C499" s="15">
        <v>1279</v>
      </c>
      <c r="D499" s="5" t="s">
        <v>1640</v>
      </c>
      <c r="E499" s="6">
        <v>2</v>
      </c>
      <c r="F499" s="6" t="s">
        <v>830</v>
      </c>
      <c r="G499" s="10" t="s">
        <v>526</v>
      </c>
      <c r="H499" s="10">
        <v>-8224768</v>
      </c>
      <c r="I499" s="10" t="s">
        <v>843</v>
      </c>
      <c r="J499" s="31" t="s">
        <v>1132</v>
      </c>
      <c r="K499" s="1">
        <f t="shared" si="21"/>
        <v>1278</v>
      </c>
      <c r="L499" s="1" t="str">
        <f t="shared" si="22"/>
        <v>4FE</v>
      </c>
      <c r="M499" s="1" t="str">
        <f t="shared" si="23"/>
        <v>0x004FE</v>
      </c>
    </row>
    <row r="500" spans="1:13" ht="40.5" x14ac:dyDescent="0.25">
      <c r="A500" s="10" t="s">
        <v>576</v>
      </c>
      <c r="B500" s="6" t="s">
        <v>10</v>
      </c>
      <c r="C500" s="15">
        <v>1281</v>
      </c>
      <c r="D500" s="5" t="s">
        <v>1641</v>
      </c>
      <c r="E500" s="16">
        <v>2</v>
      </c>
      <c r="F500" s="6" t="s">
        <v>830</v>
      </c>
      <c r="G500" s="10" t="s">
        <v>526</v>
      </c>
      <c r="H500" s="10">
        <v>-8224768</v>
      </c>
      <c r="I500" s="10" t="s">
        <v>843</v>
      </c>
      <c r="J500" s="31" t="s">
        <v>1132</v>
      </c>
      <c r="K500" s="1">
        <f t="shared" si="21"/>
        <v>1280</v>
      </c>
      <c r="L500" s="1" t="str">
        <f t="shared" si="22"/>
        <v>500</v>
      </c>
      <c r="M500" s="1" t="str">
        <f t="shared" si="23"/>
        <v>0x00500</v>
      </c>
    </row>
    <row r="501" spans="1:13" ht="40.5" x14ac:dyDescent="0.25">
      <c r="A501" s="10" t="s">
        <v>577</v>
      </c>
      <c r="B501" s="6" t="s">
        <v>10</v>
      </c>
      <c r="C501" s="15">
        <v>1283</v>
      </c>
      <c r="D501" s="5" t="s">
        <v>1642</v>
      </c>
      <c r="E501" s="16">
        <v>2</v>
      </c>
      <c r="F501" s="6" t="s">
        <v>830</v>
      </c>
      <c r="G501" s="10" t="s">
        <v>526</v>
      </c>
      <c r="H501" s="10">
        <v>-8224768</v>
      </c>
      <c r="I501" s="10" t="s">
        <v>843</v>
      </c>
      <c r="J501" s="31" t="s">
        <v>1132</v>
      </c>
      <c r="K501" s="1">
        <f t="shared" si="21"/>
        <v>1282</v>
      </c>
      <c r="L501" s="1" t="str">
        <f t="shared" si="22"/>
        <v>502</v>
      </c>
      <c r="M501" s="1" t="str">
        <f t="shared" si="23"/>
        <v>0x00502</v>
      </c>
    </row>
    <row r="502" spans="1:13" ht="40.5" x14ac:dyDescent="0.25">
      <c r="A502" s="10" t="s">
        <v>578</v>
      </c>
      <c r="B502" s="6" t="s">
        <v>10</v>
      </c>
      <c r="C502" s="15">
        <v>1285</v>
      </c>
      <c r="D502" s="5" t="s">
        <v>1643</v>
      </c>
      <c r="E502" s="16">
        <v>2</v>
      </c>
      <c r="F502" s="6" t="s">
        <v>830</v>
      </c>
      <c r="G502" s="10" t="s">
        <v>526</v>
      </c>
      <c r="H502" s="10">
        <v>-8224768</v>
      </c>
      <c r="I502" s="10" t="s">
        <v>843</v>
      </c>
      <c r="J502" s="31" t="s">
        <v>1132</v>
      </c>
      <c r="K502" s="1">
        <f t="shared" si="21"/>
        <v>1284</v>
      </c>
      <c r="L502" s="1" t="str">
        <f t="shared" si="22"/>
        <v>504</v>
      </c>
      <c r="M502" s="1" t="str">
        <f t="shared" si="23"/>
        <v>0x00504</v>
      </c>
    </row>
    <row r="503" spans="1:13" ht="40.5" x14ac:dyDescent="0.25">
      <c r="A503" s="10" t="s">
        <v>579</v>
      </c>
      <c r="B503" s="6" t="s">
        <v>10</v>
      </c>
      <c r="C503" s="15">
        <v>1287</v>
      </c>
      <c r="D503" s="5" t="s">
        <v>1644</v>
      </c>
      <c r="E503" s="16">
        <v>2</v>
      </c>
      <c r="F503" s="6" t="s">
        <v>830</v>
      </c>
      <c r="G503" s="10" t="s">
        <v>526</v>
      </c>
      <c r="H503" s="10">
        <v>-8224768</v>
      </c>
      <c r="I503" s="10" t="s">
        <v>843</v>
      </c>
      <c r="J503" s="31" t="s">
        <v>1132</v>
      </c>
      <c r="K503" s="1">
        <f t="shared" si="21"/>
        <v>1286</v>
      </c>
      <c r="L503" s="1" t="str">
        <f t="shared" si="22"/>
        <v>506</v>
      </c>
      <c r="M503" s="1" t="str">
        <f t="shared" si="23"/>
        <v>0x00506</v>
      </c>
    </row>
    <row r="504" spans="1:13" ht="40.5" x14ac:dyDescent="0.25">
      <c r="A504" s="6" t="s">
        <v>580</v>
      </c>
      <c r="B504" s="6" t="s">
        <v>10</v>
      </c>
      <c r="C504" s="17">
        <v>1289</v>
      </c>
      <c r="D504" s="5" t="s">
        <v>1645</v>
      </c>
      <c r="E504" s="16">
        <v>2</v>
      </c>
      <c r="F504" s="6" t="s">
        <v>831</v>
      </c>
      <c r="G504" s="10" t="s">
        <v>526</v>
      </c>
      <c r="H504" s="10">
        <v>-8224768</v>
      </c>
      <c r="I504" s="10" t="s">
        <v>843</v>
      </c>
      <c r="J504" s="31" t="s">
        <v>1132</v>
      </c>
      <c r="K504" s="1">
        <f t="shared" si="21"/>
        <v>1288</v>
      </c>
      <c r="L504" s="1" t="str">
        <f t="shared" si="22"/>
        <v>508</v>
      </c>
      <c r="M504" s="1" t="str">
        <f t="shared" si="23"/>
        <v>0x00508</v>
      </c>
    </row>
    <row r="505" spans="1:13" ht="40.5" x14ac:dyDescent="0.25">
      <c r="A505" s="10" t="s">
        <v>581</v>
      </c>
      <c r="B505" s="6" t="s">
        <v>10</v>
      </c>
      <c r="C505" s="17">
        <v>1291</v>
      </c>
      <c r="D505" s="5" t="s">
        <v>1646</v>
      </c>
      <c r="E505" s="16">
        <v>2</v>
      </c>
      <c r="F505" s="6" t="s">
        <v>831</v>
      </c>
      <c r="G505" s="10" t="s">
        <v>526</v>
      </c>
      <c r="H505" s="10">
        <v>-8224767</v>
      </c>
      <c r="I505" s="10" t="s">
        <v>844</v>
      </c>
      <c r="J505" s="31" t="s">
        <v>1132</v>
      </c>
      <c r="K505" s="1">
        <f t="shared" si="21"/>
        <v>1290</v>
      </c>
      <c r="L505" s="1" t="str">
        <f t="shared" si="22"/>
        <v>50A</v>
      </c>
      <c r="M505" s="1" t="str">
        <f t="shared" si="23"/>
        <v>0x0050A</v>
      </c>
    </row>
    <row r="506" spans="1:13" ht="40.5" x14ac:dyDescent="0.25">
      <c r="A506" s="16" t="s">
        <v>582</v>
      </c>
      <c r="B506" s="15" t="s">
        <v>10</v>
      </c>
      <c r="C506" s="17">
        <v>1293</v>
      </c>
      <c r="D506" s="5" t="s">
        <v>1647</v>
      </c>
      <c r="E506" s="16">
        <v>2</v>
      </c>
      <c r="F506" s="6" t="s">
        <v>831</v>
      </c>
      <c r="G506" s="10" t="s">
        <v>526</v>
      </c>
      <c r="H506" s="10">
        <v>-8224766</v>
      </c>
      <c r="I506" s="10" t="s">
        <v>845</v>
      </c>
      <c r="J506" s="31" t="s">
        <v>1132</v>
      </c>
      <c r="K506" s="1">
        <f t="shared" si="21"/>
        <v>1292</v>
      </c>
      <c r="L506" s="1" t="str">
        <f t="shared" si="22"/>
        <v>50C</v>
      </c>
      <c r="M506" s="1" t="str">
        <f t="shared" si="23"/>
        <v>0x0050C</v>
      </c>
    </row>
    <row r="507" spans="1:13" ht="40.5" x14ac:dyDescent="0.25">
      <c r="A507" s="16" t="s">
        <v>583</v>
      </c>
      <c r="B507" s="15" t="s">
        <v>10</v>
      </c>
      <c r="C507" s="17">
        <v>1295</v>
      </c>
      <c r="D507" s="5" t="s">
        <v>1648</v>
      </c>
      <c r="E507" s="22">
        <v>2</v>
      </c>
      <c r="F507" s="6" t="s">
        <v>831</v>
      </c>
      <c r="G507" s="10" t="s">
        <v>526</v>
      </c>
      <c r="H507" s="10">
        <v>-8224765</v>
      </c>
      <c r="I507" s="10" t="s">
        <v>848</v>
      </c>
      <c r="J507" s="31" t="s">
        <v>1132</v>
      </c>
      <c r="K507" s="1">
        <f t="shared" si="21"/>
        <v>1294</v>
      </c>
      <c r="L507" s="1" t="str">
        <f t="shared" si="22"/>
        <v>50E</v>
      </c>
      <c r="M507" s="1" t="str">
        <f t="shared" si="23"/>
        <v>0x0050E</v>
      </c>
    </row>
    <row r="508" spans="1:13" ht="40.5" x14ac:dyDescent="0.25">
      <c r="A508" s="16" t="s">
        <v>584</v>
      </c>
      <c r="B508" s="15" t="s">
        <v>10</v>
      </c>
      <c r="C508" s="17">
        <v>1297</v>
      </c>
      <c r="D508" s="5" t="s">
        <v>1649</v>
      </c>
      <c r="E508" s="22">
        <v>2</v>
      </c>
      <c r="F508" s="6" t="s">
        <v>831</v>
      </c>
      <c r="G508" s="10" t="s">
        <v>526</v>
      </c>
      <c r="H508" s="10">
        <v>-8224764</v>
      </c>
      <c r="I508" s="10" t="s">
        <v>849</v>
      </c>
      <c r="J508" s="31" t="s">
        <v>1132</v>
      </c>
      <c r="K508" s="1">
        <f t="shared" si="21"/>
        <v>1296</v>
      </c>
      <c r="L508" s="1" t="str">
        <f t="shared" si="22"/>
        <v>510</v>
      </c>
      <c r="M508" s="1" t="str">
        <f t="shared" si="23"/>
        <v>0x00510</v>
      </c>
    </row>
    <row r="509" spans="1:13" ht="40.5" x14ac:dyDescent="0.25">
      <c r="A509" s="16" t="s">
        <v>585</v>
      </c>
      <c r="B509" s="15" t="s">
        <v>10</v>
      </c>
      <c r="C509" s="17">
        <v>1299</v>
      </c>
      <c r="D509" s="5" t="s">
        <v>1650</v>
      </c>
      <c r="E509" s="22">
        <v>2</v>
      </c>
      <c r="F509" s="6" t="s">
        <v>831</v>
      </c>
      <c r="G509" s="10" t="s">
        <v>526</v>
      </c>
      <c r="H509" s="10">
        <v>-8224763</v>
      </c>
      <c r="I509" s="10" t="s">
        <v>850</v>
      </c>
      <c r="J509" s="31" t="s">
        <v>1132</v>
      </c>
      <c r="K509" s="1">
        <f t="shared" si="21"/>
        <v>1298</v>
      </c>
      <c r="L509" s="1" t="str">
        <f t="shared" si="22"/>
        <v>512</v>
      </c>
      <c r="M509" s="1" t="str">
        <f t="shared" si="23"/>
        <v>0x00512</v>
      </c>
    </row>
    <row r="510" spans="1:13" ht="40.5" x14ac:dyDescent="0.25">
      <c r="A510" s="16" t="s">
        <v>586</v>
      </c>
      <c r="B510" s="15" t="s">
        <v>10</v>
      </c>
      <c r="C510" s="17">
        <v>1301</v>
      </c>
      <c r="D510" s="5" t="s">
        <v>1651</v>
      </c>
      <c r="E510" s="22">
        <v>2</v>
      </c>
      <c r="F510" s="6" t="s">
        <v>831</v>
      </c>
      <c r="G510" s="10" t="s">
        <v>526</v>
      </c>
      <c r="H510" s="10">
        <v>-8224762</v>
      </c>
      <c r="I510" s="10" t="s">
        <v>851</v>
      </c>
      <c r="J510" s="31" t="s">
        <v>1132</v>
      </c>
      <c r="K510" s="1">
        <f t="shared" si="21"/>
        <v>1300</v>
      </c>
      <c r="L510" s="1" t="str">
        <f t="shared" si="22"/>
        <v>514</v>
      </c>
      <c r="M510" s="1" t="str">
        <f t="shared" si="23"/>
        <v>0x00514</v>
      </c>
    </row>
    <row r="511" spans="1:13" ht="40.5" x14ac:dyDescent="0.25">
      <c r="A511" s="16" t="s">
        <v>587</v>
      </c>
      <c r="B511" s="15" t="s">
        <v>10</v>
      </c>
      <c r="C511" s="17">
        <v>1303</v>
      </c>
      <c r="D511" s="5" t="s">
        <v>1652</v>
      </c>
      <c r="E511" s="22">
        <v>2</v>
      </c>
      <c r="F511" s="6" t="s">
        <v>831</v>
      </c>
      <c r="G511" s="10" t="s">
        <v>526</v>
      </c>
      <c r="H511" s="10">
        <v>-8224761</v>
      </c>
      <c r="I511" s="10" t="s">
        <v>852</v>
      </c>
      <c r="J511" s="31" t="s">
        <v>1132</v>
      </c>
      <c r="K511" s="1">
        <f t="shared" si="21"/>
        <v>1302</v>
      </c>
      <c r="L511" s="1" t="str">
        <f t="shared" si="22"/>
        <v>516</v>
      </c>
      <c r="M511" s="1" t="str">
        <f t="shared" si="23"/>
        <v>0x00516</v>
      </c>
    </row>
    <row r="512" spans="1:13" ht="40.5" x14ac:dyDescent="0.25">
      <c r="A512" s="16" t="s">
        <v>588</v>
      </c>
      <c r="B512" s="15" t="s">
        <v>10</v>
      </c>
      <c r="C512" s="17">
        <v>1305</v>
      </c>
      <c r="D512" s="5" t="s">
        <v>1653</v>
      </c>
      <c r="E512" s="22">
        <v>1</v>
      </c>
      <c r="F512" s="6" t="s">
        <v>841</v>
      </c>
      <c r="G512" s="10" t="s">
        <v>521</v>
      </c>
      <c r="H512" s="10">
        <v>-16</v>
      </c>
      <c r="I512" s="10" t="s">
        <v>522</v>
      </c>
      <c r="J512" s="31" t="s">
        <v>1131</v>
      </c>
      <c r="K512" s="1">
        <f t="shared" si="21"/>
        <v>1304</v>
      </c>
      <c r="L512" s="1" t="str">
        <f t="shared" si="22"/>
        <v>518</v>
      </c>
      <c r="M512" s="1" t="str">
        <f t="shared" si="23"/>
        <v>0x00518</v>
      </c>
    </row>
    <row r="513" spans="1:13" ht="40.5" x14ac:dyDescent="0.25">
      <c r="A513" s="16" t="s">
        <v>589</v>
      </c>
      <c r="B513" s="15" t="s">
        <v>10</v>
      </c>
      <c r="C513" s="17">
        <v>1306</v>
      </c>
      <c r="D513" s="5" t="s">
        <v>1654</v>
      </c>
      <c r="E513" s="22">
        <v>1</v>
      </c>
      <c r="F513" s="6" t="s">
        <v>842</v>
      </c>
      <c r="G513" s="10" t="s">
        <v>521</v>
      </c>
      <c r="H513" s="10">
        <v>-16</v>
      </c>
      <c r="I513" s="10" t="s">
        <v>522</v>
      </c>
      <c r="J513" s="31" t="s">
        <v>1131</v>
      </c>
      <c r="K513" s="1">
        <f t="shared" si="21"/>
        <v>1305</v>
      </c>
      <c r="L513" s="1" t="str">
        <f t="shared" si="22"/>
        <v>519</v>
      </c>
      <c r="M513" s="1" t="str">
        <f t="shared" si="23"/>
        <v>0x00519</v>
      </c>
    </row>
    <row r="514" spans="1:13" ht="40.5" x14ac:dyDescent="0.25">
      <c r="A514" s="16" t="s">
        <v>590</v>
      </c>
      <c r="B514" s="15" t="s">
        <v>10</v>
      </c>
      <c r="C514" s="17">
        <v>1307</v>
      </c>
      <c r="D514" s="5" t="s">
        <v>1655</v>
      </c>
      <c r="E514" s="22">
        <v>1</v>
      </c>
      <c r="F514" s="6" t="s">
        <v>853</v>
      </c>
      <c r="G514" s="10" t="s">
        <v>521</v>
      </c>
      <c r="H514" s="10">
        <v>-16</v>
      </c>
      <c r="I514" s="10" t="s">
        <v>522</v>
      </c>
      <c r="J514" s="31" t="s">
        <v>1131</v>
      </c>
      <c r="K514" s="1">
        <f t="shared" si="21"/>
        <v>1306</v>
      </c>
      <c r="L514" s="1" t="str">
        <f t="shared" si="22"/>
        <v>51A</v>
      </c>
      <c r="M514" s="1" t="str">
        <f t="shared" si="23"/>
        <v>0x0051A</v>
      </c>
    </row>
    <row r="515" spans="1:13" ht="40.5" x14ac:dyDescent="0.25">
      <c r="A515" s="16" t="s">
        <v>591</v>
      </c>
      <c r="B515" s="15" t="s">
        <v>10</v>
      </c>
      <c r="C515" s="17">
        <v>1308</v>
      </c>
      <c r="D515" s="5" t="s">
        <v>1656</v>
      </c>
      <c r="E515" s="22">
        <v>1</v>
      </c>
      <c r="F515" s="6" t="s">
        <v>854</v>
      </c>
      <c r="G515" s="10" t="s">
        <v>521</v>
      </c>
      <c r="H515" s="10">
        <v>-16</v>
      </c>
      <c r="I515" s="10" t="s">
        <v>522</v>
      </c>
      <c r="J515" s="31" t="s">
        <v>1131</v>
      </c>
      <c r="K515" s="1">
        <f t="shared" si="21"/>
        <v>1307</v>
      </c>
      <c r="L515" s="1" t="str">
        <f t="shared" si="22"/>
        <v>51B</v>
      </c>
      <c r="M515" s="1" t="str">
        <f t="shared" si="23"/>
        <v>0x0051B</v>
      </c>
    </row>
    <row r="516" spans="1:13" ht="40.5" x14ac:dyDescent="0.25">
      <c r="A516" s="16" t="s">
        <v>592</v>
      </c>
      <c r="B516" s="15" t="s">
        <v>10</v>
      </c>
      <c r="C516" s="17">
        <v>1309</v>
      </c>
      <c r="D516" s="5" t="s">
        <v>1657</v>
      </c>
      <c r="E516" s="22">
        <v>1</v>
      </c>
      <c r="F516" s="6" t="s">
        <v>855</v>
      </c>
      <c r="G516" s="10" t="s">
        <v>521</v>
      </c>
      <c r="H516" s="10">
        <v>-16</v>
      </c>
      <c r="I516" s="10" t="s">
        <v>522</v>
      </c>
      <c r="J516" s="31" t="s">
        <v>1131</v>
      </c>
      <c r="K516" s="1">
        <f t="shared" si="21"/>
        <v>1308</v>
      </c>
      <c r="L516" s="1" t="str">
        <f t="shared" si="22"/>
        <v>51C</v>
      </c>
      <c r="M516" s="1" t="str">
        <f t="shared" si="23"/>
        <v>0x0051C</v>
      </c>
    </row>
    <row r="517" spans="1:13" ht="40.5" x14ac:dyDescent="0.25">
      <c r="A517" s="16" t="s">
        <v>593</v>
      </c>
      <c r="B517" s="15" t="s">
        <v>10</v>
      </c>
      <c r="C517" s="17">
        <v>1310</v>
      </c>
      <c r="D517" s="5" t="s">
        <v>1658</v>
      </c>
      <c r="E517" s="22">
        <v>1</v>
      </c>
      <c r="F517" s="6" t="s">
        <v>856</v>
      </c>
      <c r="G517" s="10" t="s">
        <v>521</v>
      </c>
      <c r="H517" s="10">
        <v>-16</v>
      </c>
      <c r="I517" s="10" t="s">
        <v>522</v>
      </c>
      <c r="J517" s="31" t="s">
        <v>1131</v>
      </c>
      <c r="K517" s="1">
        <f t="shared" si="21"/>
        <v>1309</v>
      </c>
      <c r="L517" s="1" t="str">
        <f t="shared" si="22"/>
        <v>51D</v>
      </c>
      <c r="M517" s="1" t="str">
        <f t="shared" si="23"/>
        <v>0x0051D</v>
      </c>
    </row>
    <row r="518" spans="1:13" ht="40.5" x14ac:dyDescent="0.25">
      <c r="A518" s="16" t="s">
        <v>594</v>
      </c>
      <c r="B518" s="15" t="s">
        <v>10</v>
      </c>
      <c r="C518" s="17">
        <v>1311</v>
      </c>
      <c r="D518" s="5" t="s">
        <v>1659</v>
      </c>
      <c r="E518" s="22">
        <v>1</v>
      </c>
      <c r="F518" s="6" t="s">
        <v>857</v>
      </c>
      <c r="G518" s="10" t="s">
        <v>521</v>
      </c>
      <c r="H518" s="10">
        <v>-16</v>
      </c>
      <c r="I518" s="10" t="s">
        <v>522</v>
      </c>
      <c r="J518" s="31" t="s">
        <v>1131</v>
      </c>
      <c r="K518" s="1">
        <f t="shared" si="21"/>
        <v>1310</v>
      </c>
      <c r="L518" s="1" t="str">
        <f t="shared" si="22"/>
        <v>51E</v>
      </c>
      <c r="M518" s="1" t="str">
        <f t="shared" si="23"/>
        <v>0x0051E</v>
      </c>
    </row>
    <row r="519" spans="1:13" ht="40.5" x14ac:dyDescent="0.25">
      <c r="A519" s="16" t="s">
        <v>595</v>
      </c>
      <c r="B519" s="15" t="s">
        <v>10</v>
      </c>
      <c r="C519" s="17">
        <v>1312</v>
      </c>
      <c r="D519" s="5" t="s">
        <v>1660</v>
      </c>
      <c r="E519" s="22">
        <v>1</v>
      </c>
      <c r="F519" s="6" t="s">
        <v>858</v>
      </c>
      <c r="G519" s="10" t="s">
        <v>521</v>
      </c>
      <c r="H519" s="10">
        <v>-16</v>
      </c>
      <c r="I519" s="10" t="s">
        <v>522</v>
      </c>
      <c r="J519" s="31" t="s">
        <v>1131</v>
      </c>
      <c r="K519" s="1">
        <f t="shared" ref="K519:K544" si="24">C519-1</f>
        <v>1311</v>
      </c>
      <c r="L519" s="1" t="str">
        <f t="shared" ref="L519:L544" si="25">DEC2HEX(K519)</f>
        <v>51F</v>
      </c>
      <c r="M519" s="1" t="str">
        <f t="shared" ref="M519:M544" si="26">_xlfn.CONCAT("0x00", L519)</f>
        <v>0x0051F</v>
      </c>
    </row>
    <row r="520" spans="1:13" x14ac:dyDescent="0.25">
      <c r="A520" s="16" t="s">
        <v>596</v>
      </c>
      <c r="B520" s="15" t="s">
        <v>10</v>
      </c>
      <c r="C520" s="17">
        <v>1313</v>
      </c>
      <c r="D520" s="5" t="s">
        <v>1661</v>
      </c>
      <c r="E520" s="22">
        <v>1</v>
      </c>
      <c r="F520" s="16" t="s">
        <v>596</v>
      </c>
      <c r="G520" s="10" t="s">
        <v>868</v>
      </c>
      <c r="H520" s="10">
        <v>200</v>
      </c>
      <c r="I520" s="10" t="s">
        <v>869</v>
      </c>
      <c r="J520" s="31" t="s">
        <v>1138</v>
      </c>
      <c r="K520" s="1">
        <f t="shared" si="24"/>
        <v>1312</v>
      </c>
      <c r="L520" s="1" t="str">
        <f t="shared" si="25"/>
        <v>520</v>
      </c>
      <c r="M520" s="1" t="str">
        <f t="shared" si="26"/>
        <v>0x00520</v>
      </c>
    </row>
    <row r="521" spans="1:13" x14ac:dyDescent="0.25">
      <c r="A521" s="16" t="s">
        <v>597</v>
      </c>
      <c r="B521" s="15" t="s">
        <v>10</v>
      </c>
      <c r="C521" s="17">
        <v>1314</v>
      </c>
      <c r="D521" s="5" t="s">
        <v>1662</v>
      </c>
      <c r="E521" s="22">
        <v>1</v>
      </c>
      <c r="F521" s="16" t="s">
        <v>597</v>
      </c>
      <c r="G521" s="10" t="s">
        <v>868</v>
      </c>
      <c r="H521" s="10">
        <v>200</v>
      </c>
      <c r="I521" s="10" t="s">
        <v>869</v>
      </c>
      <c r="J521" s="31" t="s">
        <v>1138</v>
      </c>
      <c r="K521" s="1">
        <f t="shared" si="24"/>
        <v>1313</v>
      </c>
      <c r="L521" s="1" t="str">
        <f t="shared" si="25"/>
        <v>521</v>
      </c>
      <c r="M521" s="1" t="str">
        <f t="shared" si="26"/>
        <v>0x00521</v>
      </c>
    </row>
    <row r="522" spans="1:13" x14ac:dyDescent="0.25">
      <c r="A522" s="16" t="s">
        <v>598</v>
      </c>
      <c r="B522" s="15" t="s">
        <v>10</v>
      </c>
      <c r="C522" s="17">
        <v>1315</v>
      </c>
      <c r="D522" s="5" t="s">
        <v>1663</v>
      </c>
      <c r="E522" s="22">
        <v>1</v>
      </c>
      <c r="F522" s="16" t="s">
        <v>598</v>
      </c>
      <c r="G522" s="10" t="s">
        <v>868</v>
      </c>
      <c r="H522" s="10">
        <v>200</v>
      </c>
      <c r="I522" s="10" t="s">
        <v>869</v>
      </c>
      <c r="J522" s="31" t="s">
        <v>1138</v>
      </c>
      <c r="K522" s="1">
        <f t="shared" si="24"/>
        <v>1314</v>
      </c>
      <c r="L522" s="1" t="str">
        <f t="shared" si="25"/>
        <v>522</v>
      </c>
      <c r="M522" s="1" t="str">
        <f t="shared" si="26"/>
        <v>0x00522</v>
      </c>
    </row>
    <row r="523" spans="1:13" x14ac:dyDescent="0.25">
      <c r="A523" s="16" t="s">
        <v>599</v>
      </c>
      <c r="B523" s="15" t="s">
        <v>10</v>
      </c>
      <c r="C523" s="17">
        <v>1316</v>
      </c>
      <c r="D523" s="5" t="s">
        <v>1664</v>
      </c>
      <c r="E523" s="22">
        <v>1</v>
      </c>
      <c r="F523" s="16" t="s">
        <v>599</v>
      </c>
      <c r="G523" s="10" t="s">
        <v>868</v>
      </c>
      <c r="H523" s="10">
        <v>200</v>
      </c>
      <c r="I523" s="10" t="s">
        <v>869</v>
      </c>
      <c r="J523" s="31" t="s">
        <v>1138</v>
      </c>
      <c r="K523" s="1">
        <f t="shared" si="24"/>
        <v>1315</v>
      </c>
      <c r="L523" s="1" t="str">
        <f t="shared" si="25"/>
        <v>523</v>
      </c>
      <c r="M523" s="1" t="str">
        <f t="shared" si="26"/>
        <v>0x00523</v>
      </c>
    </row>
    <row r="524" spans="1:13" ht="81" x14ac:dyDescent="0.25">
      <c r="A524" s="16" t="s">
        <v>600</v>
      </c>
      <c r="B524" s="15" t="s">
        <v>10</v>
      </c>
      <c r="C524" s="17">
        <v>1321</v>
      </c>
      <c r="D524" s="5" t="s">
        <v>1665</v>
      </c>
      <c r="E524" s="22">
        <v>1</v>
      </c>
      <c r="F524" s="6" t="s">
        <v>945</v>
      </c>
      <c r="G524" s="10" t="s">
        <v>951</v>
      </c>
      <c r="H524" s="10"/>
      <c r="I524" s="10"/>
      <c r="J524" s="31" t="s">
        <v>600</v>
      </c>
      <c r="K524" s="1">
        <f t="shared" si="24"/>
        <v>1320</v>
      </c>
      <c r="L524" s="1" t="str">
        <f t="shared" si="25"/>
        <v>528</v>
      </c>
      <c r="M524" s="1" t="str">
        <f t="shared" si="26"/>
        <v>0x00528</v>
      </c>
    </row>
    <row r="525" spans="1:13" ht="81" x14ac:dyDescent="0.25">
      <c r="A525" s="16" t="s">
        <v>601</v>
      </c>
      <c r="B525" s="15" t="s">
        <v>10</v>
      </c>
      <c r="C525" s="17">
        <v>1322</v>
      </c>
      <c r="D525" s="5" t="s">
        <v>1666</v>
      </c>
      <c r="E525" s="22">
        <v>1</v>
      </c>
      <c r="F525" s="6" t="s">
        <v>946</v>
      </c>
      <c r="G525" s="10" t="s">
        <v>952</v>
      </c>
      <c r="H525" s="10"/>
      <c r="I525" s="10"/>
      <c r="J525" s="31" t="s">
        <v>601</v>
      </c>
      <c r="K525" s="1">
        <f t="shared" si="24"/>
        <v>1321</v>
      </c>
      <c r="L525" s="1" t="str">
        <f t="shared" si="25"/>
        <v>529</v>
      </c>
      <c r="M525" s="1" t="str">
        <f t="shared" si="26"/>
        <v>0x00529</v>
      </c>
    </row>
    <row r="526" spans="1:13" ht="81" x14ac:dyDescent="0.25">
      <c r="A526" s="16" t="s">
        <v>602</v>
      </c>
      <c r="B526" s="15" t="s">
        <v>10</v>
      </c>
      <c r="C526" s="17">
        <v>1323</v>
      </c>
      <c r="D526" s="5" t="s">
        <v>1667</v>
      </c>
      <c r="E526" s="22">
        <v>1</v>
      </c>
      <c r="F526" s="6" t="s">
        <v>947</v>
      </c>
      <c r="G526" s="10" t="s">
        <v>953</v>
      </c>
      <c r="H526" s="10"/>
      <c r="I526" s="10"/>
      <c r="J526" s="31" t="s">
        <v>602</v>
      </c>
      <c r="K526" s="1">
        <f t="shared" si="24"/>
        <v>1322</v>
      </c>
      <c r="L526" s="1" t="str">
        <f t="shared" si="25"/>
        <v>52A</v>
      </c>
      <c r="M526" s="1" t="str">
        <f t="shared" si="26"/>
        <v>0x0052A</v>
      </c>
    </row>
    <row r="527" spans="1:13" ht="81" x14ac:dyDescent="0.25">
      <c r="A527" s="16" t="s">
        <v>603</v>
      </c>
      <c r="B527" s="15" t="s">
        <v>10</v>
      </c>
      <c r="C527" s="17">
        <v>1324</v>
      </c>
      <c r="D527" s="5" t="s">
        <v>1668</v>
      </c>
      <c r="E527" s="22">
        <v>1</v>
      </c>
      <c r="F527" s="6" t="s">
        <v>948</v>
      </c>
      <c r="G527" s="10" t="s">
        <v>954</v>
      </c>
      <c r="H527" s="10"/>
      <c r="I527" s="10"/>
      <c r="J527" s="31" t="s">
        <v>603</v>
      </c>
      <c r="K527" s="1">
        <f t="shared" si="24"/>
        <v>1323</v>
      </c>
      <c r="L527" s="1" t="str">
        <f t="shared" si="25"/>
        <v>52B</v>
      </c>
      <c r="M527" s="1" t="str">
        <f t="shared" si="26"/>
        <v>0x0052B</v>
      </c>
    </row>
    <row r="528" spans="1:13" ht="81" x14ac:dyDescent="0.25">
      <c r="A528" s="16" t="s">
        <v>604</v>
      </c>
      <c r="B528" s="15" t="s">
        <v>10</v>
      </c>
      <c r="C528" s="17">
        <v>1325</v>
      </c>
      <c r="D528" s="5" t="s">
        <v>1669</v>
      </c>
      <c r="E528" s="22">
        <v>1</v>
      </c>
      <c r="F528" s="6" t="s">
        <v>949</v>
      </c>
      <c r="G528" s="10" t="s">
        <v>955</v>
      </c>
      <c r="H528" s="10"/>
      <c r="I528" s="10"/>
      <c r="J528" s="31" t="s">
        <v>604</v>
      </c>
      <c r="K528" s="1">
        <f t="shared" si="24"/>
        <v>1324</v>
      </c>
      <c r="L528" s="1" t="str">
        <f t="shared" si="25"/>
        <v>52C</v>
      </c>
      <c r="M528" s="1" t="str">
        <f t="shared" si="26"/>
        <v>0x0052C</v>
      </c>
    </row>
    <row r="529" spans="1:13" ht="81" x14ac:dyDescent="0.25">
      <c r="A529" s="16" t="s">
        <v>605</v>
      </c>
      <c r="B529" s="15" t="s">
        <v>10</v>
      </c>
      <c r="C529" s="17">
        <v>1326</v>
      </c>
      <c r="D529" s="5" t="s">
        <v>1670</v>
      </c>
      <c r="E529" s="22">
        <v>1</v>
      </c>
      <c r="F529" s="6" t="s">
        <v>950</v>
      </c>
      <c r="G529" s="10" t="s">
        <v>956</v>
      </c>
      <c r="H529" s="10"/>
      <c r="I529" s="10"/>
      <c r="J529" s="31" t="s">
        <v>605</v>
      </c>
      <c r="K529" s="1">
        <f t="shared" si="24"/>
        <v>1325</v>
      </c>
      <c r="L529" s="1" t="str">
        <f t="shared" si="25"/>
        <v>52D</v>
      </c>
      <c r="M529" s="33" t="str">
        <f t="shared" si="26"/>
        <v>0x0052D</v>
      </c>
    </row>
    <row r="530" spans="1:13" ht="81" x14ac:dyDescent="0.25">
      <c r="A530" s="16" t="s">
        <v>606</v>
      </c>
      <c r="B530" s="15" t="s">
        <v>10</v>
      </c>
      <c r="C530" s="17">
        <v>1327</v>
      </c>
      <c r="D530" s="5" t="s">
        <v>1671</v>
      </c>
      <c r="E530" s="15">
        <v>1</v>
      </c>
      <c r="F530" s="6" t="s">
        <v>957</v>
      </c>
      <c r="G530" s="10" t="s">
        <v>981</v>
      </c>
      <c r="H530" s="10"/>
      <c r="I530" s="10"/>
      <c r="J530" s="31" t="s">
        <v>606</v>
      </c>
      <c r="K530" s="1">
        <f t="shared" si="24"/>
        <v>1326</v>
      </c>
      <c r="L530" s="1" t="str">
        <f t="shared" si="25"/>
        <v>52E</v>
      </c>
      <c r="M530" s="33" t="str">
        <f t="shared" si="26"/>
        <v>0x0052E</v>
      </c>
    </row>
    <row r="531" spans="1:13" ht="81" x14ac:dyDescent="0.25">
      <c r="A531" s="16" t="s">
        <v>607</v>
      </c>
      <c r="B531" s="15" t="s">
        <v>10</v>
      </c>
      <c r="C531" s="17">
        <v>1328</v>
      </c>
      <c r="D531" s="5" t="s">
        <v>1672</v>
      </c>
      <c r="E531" s="15">
        <v>1</v>
      </c>
      <c r="F531" s="6" t="s">
        <v>957</v>
      </c>
      <c r="G531" s="10" t="s">
        <v>980</v>
      </c>
      <c r="H531" s="10"/>
      <c r="I531" s="10"/>
      <c r="J531" s="31" t="s">
        <v>607</v>
      </c>
      <c r="K531" s="1">
        <f t="shared" si="24"/>
        <v>1327</v>
      </c>
      <c r="L531" s="1" t="str">
        <f t="shared" si="25"/>
        <v>52F</v>
      </c>
      <c r="M531" s="33" t="str">
        <f t="shared" si="26"/>
        <v>0x0052F</v>
      </c>
    </row>
    <row r="532" spans="1:13" ht="81" x14ac:dyDescent="0.25">
      <c r="A532" s="16" t="s">
        <v>608</v>
      </c>
      <c r="B532" s="15" t="s">
        <v>10</v>
      </c>
      <c r="C532" s="17">
        <v>1329</v>
      </c>
      <c r="D532" s="5" t="s">
        <v>1673</v>
      </c>
      <c r="E532" s="15">
        <v>1</v>
      </c>
      <c r="F532" s="6" t="s">
        <v>958</v>
      </c>
      <c r="G532" s="10" t="s">
        <v>979</v>
      </c>
      <c r="H532" s="10"/>
      <c r="I532" s="10"/>
      <c r="J532" s="31" t="s">
        <v>608</v>
      </c>
      <c r="K532" s="1">
        <f t="shared" si="24"/>
        <v>1328</v>
      </c>
      <c r="L532" s="1" t="str">
        <f t="shared" si="25"/>
        <v>530</v>
      </c>
      <c r="M532" s="33" t="str">
        <f t="shared" si="26"/>
        <v>0x00530</v>
      </c>
    </row>
    <row r="533" spans="1:13" ht="40.5" x14ac:dyDescent="0.25">
      <c r="A533" s="16" t="s">
        <v>1083</v>
      </c>
      <c r="B533" s="15" t="s">
        <v>10</v>
      </c>
      <c r="C533" s="17">
        <v>1330</v>
      </c>
      <c r="D533" s="5" t="s">
        <v>1674</v>
      </c>
      <c r="E533" s="15">
        <v>1</v>
      </c>
      <c r="F533" s="6" t="s">
        <v>839</v>
      </c>
      <c r="G533" s="6" t="s">
        <v>85</v>
      </c>
      <c r="H533" s="10" t="s">
        <v>86</v>
      </c>
      <c r="I533" s="10" t="s">
        <v>87</v>
      </c>
      <c r="J533" s="29" t="s">
        <v>1006</v>
      </c>
      <c r="K533" s="1">
        <f t="shared" si="24"/>
        <v>1329</v>
      </c>
      <c r="L533" s="1" t="str">
        <f t="shared" si="25"/>
        <v>531</v>
      </c>
      <c r="M533" s="33" t="str">
        <f t="shared" si="26"/>
        <v>0x00531</v>
      </c>
    </row>
    <row r="534" spans="1:13" x14ac:dyDescent="0.25">
      <c r="A534" s="16" t="s">
        <v>1084</v>
      </c>
      <c r="B534" s="15" t="s">
        <v>10</v>
      </c>
      <c r="C534" s="17">
        <v>1331</v>
      </c>
      <c r="D534" s="5" t="s">
        <v>1675</v>
      </c>
      <c r="E534" s="15">
        <v>1</v>
      </c>
      <c r="F534" s="6" t="s">
        <v>838</v>
      </c>
      <c r="G534" s="8" t="s">
        <v>25</v>
      </c>
      <c r="H534" s="6" t="s">
        <v>26</v>
      </c>
      <c r="I534" s="6" t="s">
        <v>27</v>
      </c>
      <c r="J534" s="29" t="s">
        <v>1139</v>
      </c>
      <c r="K534" s="1">
        <f t="shared" si="24"/>
        <v>1330</v>
      </c>
      <c r="L534" s="1" t="str">
        <f t="shared" si="25"/>
        <v>532</v>
      </c>
      <c r="M534" s="33" t="str">
        <f t="shared" si="26"/>
        <v>0x00532</v>
      </c>
    </row>
    <row r="535" spans="1:13" x14ac:dyDescent="0.25">
      <c r="A535" s="16" t="s">
        <v>1085</v>
      </c>
      <c r="B535" s="15" t="s">
        <v>10</v>
      </c>
      <c r="C535" s="17">
        <v>1332</v>
      </c>
      <c r="D535" s="5" t="s">
        <v>1676</v>
      </c>
      <c r="E535" s="15">
        <v>1</v>
      </c>
      <c r="F535" s="16" t="s">
        <v>1686</v>
      </c>
      <c r="G535" s="6" t="s">
        <v>85</v>
      </c>
      <c r="H535" s="10" t="s">
        <v>86</v>
      </c>
      <c r="I535" s="10" t="s">
        <v>87</v>
      </c>
      <c r="J535" s="29" t="s">
        <v>1006</v>
      </c>
      <c r="K535" s="1">
        <f t="shared" si="24"/>
        <v>1331</v>
      </c>
      <c r="L535" s="1" t="str">
        <f t="shared" si="25"/>
        <v>533</v>
      </c>
      <c r="M535" s="33" t="str">
        <f t="shared" si="26"/>
        <v>0x00533</v>
      </c>
    </row>
    <row r="536" spans="1:13" x14ac:dyDescent="0.25">
      <c r="A536" s="16" t="s">
        <v>1086</v>
      </c>
      <c r="B536" s="15" t="s">
        <v>10</v>
      </c>
      <c r="C536" s="17">
        <v>1333</v>
      </c>
      <c r="D536" s="5" t="s">
        <v>1677</v>
      </c>
      <c r="E536" s="15">
        <v>1</v>
      </c>
      <c r="F536" s="16" t="s">
        <v>1687</v>
      </c>
      <c r="G536" s="6" t="s">
        <v>85</v>
      </c>
      <c r="H536" s="10" t="s">
        <v>86</v>
      </c>
      <c r="I536" s="10" t="s">
        <v>87</v>
      </c>
      <c r="J536" s="29" t="s">
        <v>1006</v>
      </c>
      <c r="K536" s="1">
        <f t="shared" si="24"/>
        <v>1332</v>
      </c>
      <c r="L536" s="1" t="str">
        <f t="shared" si="25"/>
        <v>534</v>
      </c>
      <c r="M536" s="33" t="str">
        <f t="shared" si="26"/>
        <v>0x00534</v>
      </c>
    </row>
    <row r="537" spans="1:13" x14ac:dyDescent="0.25">
      <c r="A537" s="16" t="s">
        <v>1087</v>
      </c>
      <c r="B537" s="15" t="s">
        <v>10</v>
      </c>
      <c r="C537" s="17">
        <v>1334</v>
      </c>
      <c r="D537" s="5" t="s">
        <v>1678</v>
      </c>
      <c r="E537" s="15">
        <v>1</v>
      </c>
      <c r="F537" s="16" t="s">
        <v>1688</v>
      </c>
      <c r="G537" s="6" t="s">
        <v>85</v>
      </c>
      <c r="H537" s="10" t="s">
        <v>86</v>
      </c>
      <c r="I537" s="10" t="s">
        <v>87</v>
      </c>
      <c r="J537" s="29" t="s">
        <v>1006</v>
      </c>
      <c r="K537" s="1">
        <f t="shared" si="24"/>
        <v>1333</v>
      </c>
      <c r="L537" s="1" t="str">
        <f t="shared" si="25"/>
        <v>535</v>
      </c>
      <c r="M537" s="33" t="str">
        <f t="shared" si="26"/>
        <v>0x00535</v>
      </c>
    </row>
    <row r="538" spans="1:13" x14ac:dyDescent="0.25">
      <c r="A538" s="16" t="s">
        <v>1088</v>
      </c>
      <c r="B538" s="15" t="s">
        <v>10</v>
      </c>
      <c r="C538" s="17">
        <v>1335</v>
      </c>
      <c r="D538" s="5" t="s">
        <v>1679</v>
      </c>
      <c r="E538" s="15">
        <v>1</v>
      </c>
      <c r="F538" s="16" t="s">
        <v>1689</v>
      </c>
      <c r="G538" s="6" t="s">
        <v>85</v>
      </c>
      <c r="H538" s="10" t="s">
        <v>86</v>
      </c>
      <c r="I538" s="10" t="s">
        <v>87</v>
      </c>
      <c r="J538" s="29" t="s">
        <v>1006</v>
      </c>
      <c r="K538" s="1">
        <f t="shared" si="24"/>
        <v>1334</v>
      </c>
      <c r="L538" s="1" t="str">
        <f t="shared" si="25"/>
        <v>536</v>
      </c>
      <c r="M538" s="33" t="str">
        <f t="shared" si="26"/>
        <v>0x00536</v>
      </c>
    </row>
    <row r="539" spans="1:13" x14ac:dyDescent="0.25">
      <c r="A539" s="16" t="s">
        <v>1089</v>
      </c>
      <c r="B539" s="15" t="s">
        <v>10</v>
      </c>
      <c r="C539" s="17">
        <v>1336</v>
      </c>
      <c r="D539" s="5" t="s">
        <v>1680</v>
      </c>
      <c r="E539" s="15">
        <v>1</v>
      </c>
      <c r="F539" s="16" t="s">
        <v>1690</v>
      </c>
      <c r="G539" s="6" t="s">
        <v>85</v>
      </c>
      <c r="H539" s="10" t="s">
        <v>86</v>
      </c>
      <c r="I539" s="10" t="s">
        <v>87</v>
      </c>
      <c r="J539" s="29" t="s">
        <v>1006</v>
      </c>
      <c r="K539" s="1">
        <f t="shared" si="24"/>
        <v>1335</v>
      </c>
      <c r="L539" s="1" t="str">
        <f t="shared" si="25"/>
        <v>537</v>
      </c>
      <c r="M539" s="33" t="str">
        <f t="shared" si="26"/>
        <v>0x00537</v>
      </c>
    </row>
    <row r="540" spans="1:13" x14ac:dyDescent="0.25">
      <c r="A540" s="16" t="s">
        <v>1090</v>
      </c>
      <c r="B540" s="15" t="s">
        <v>10</v>
      </c>
      <c r="C540" s="17">
        <v>1337</v>
      </c>
      <c r="D540" s="5" t="s">
        <v>1681</v>
      </c>
      <c r="E540" s="15">
        <v>1</v>
      </c>
      <c r="F540" s="16" t="s">
        <v>1691</v>
      </c>
      <c r="G540" s="6" t="s">
        <v>85</v>
      </c>
      <c r="H540" s="10" t="s">
        <v>86</v>
      </c>
      <c r="I540" s="10" t="s">
        <v>87</v>
      </c>
      <c r="J540" s="29" t="s">
        <v>1006</v>
      </c>
      <c r="K540" s="1">
        <f t="shared" si="24"/>
        <v>1336</v>
      </c>
      <c r="L540" s="1" t="str">
        <f t="shared" si="25"/>
        <v>538</v>
      </c>
      <c r="M540" s="33" t="str">
        <f t="shared" si="26"/>
        <v>0x00538</v>
      </c>
    </row>
    <row r="541" spans="1:13" x14ac:dyDescent="0.25">
      <c r="A541" s="16" t="s">
        <v>1091</v>
      </c>
      <c r="B541" s="15" t="s">
        <v>10</v>
      </c>
      <c r="C541" s="17">
        <v>1338</v>
      </c>
      <c r="D541" s="5" t="s">
        <v>1682</v>
      </c>
      <c r="E541" s="15">
        <v>1</v>
      </c>
      <c r="F541" s="6" t="s">
        <v>1692</v>
      </c>
      <c r="G541" s="8" t="s">
        <v>25</v>
      </c>
      <c r="H541" s="6" t="s">
        <v>26</v>
      </c>
      <c r="I541" s="6" t="s">
        <v>27</v>
      </c>
      <c r="J541" s="29" t="s">
        <v>1139</v>
      </c>
      <c r="K541" s="1">
        <f t="shared" si="24"/>
        <v>1337</v>
      </c>
      <c r="L541" s="1" t="str">
        <f t="shared" si="25"/>
        <v>539</v>
      </c>
      <c r="M541" s="33" t="str">
        <f t="shared" si="26"/>
        <v>0x00539</v>
      </c>
    </row>
    <row r="542" spans="1:13" x14ac:dyDescent="0.25">
      <c r="A542" s="16" t="s">
        <v>1092</v>
      </c>
      <c r="B542" s="15" t="s">
        <v>10</v>
      </c>
      <c r="C542" s="17">
        <v>1339</v>
      </c>
      <c r="D542" s="5" t="s">
        <v>1683</v>
      </c>
      <c r="E542" s="15">
        <v>1</v>
      </c>
      <c r="F542" s="6" t="s">
        <v>1693</v>
      </c>
      <c r="G542" s="8" t="s">
        <v>25</v>
      </c>
      <c r="H542" s="6" t="s">
        <v>26</v>
      </c>
      <c r="I542" s="6" t="s">
        <v>27</v>
      </c>
      <c r="J542" s="29" t="s">
        <v>1139</v>
      </c>
      <c r="K542" s="1">
        <f t="shared" si="24"/>
        <v>1338</v>
      </c>
      <c r="L542" s="1" t="str">
        <f t="shared" si="25"/>
        <v>53A</v>
      </c>
      <c r="M542" s="33" t="str">
        <f t="shared" si="26"/>
        <v>0x0053A</v>
      </c>
    </row>
    <row r="543" spans="1:13" x14ac:dyDescent="0.25">
      <c r="A543" s="16" t="s">
        <v>1093</v>
      </c>
      <c r="B543" s="15" t="s">
        <v>10</v>
      </c>
      <c r="C543" s="17">
        <v>1340</v>
      </c>
      <c r="D543" s="5" t="s">
        <v>1684</v>
      </c>
      <c r="E543" s="15">
        <v>1</v>
      </c>
      <c r="F543" s="6" t="s">
        <v>1694</v>
      </c>
      <c r="G543" s="8" t="s">
        <v>25</v>
      </c>
      <c r="H543" s="6" t="s">
        <v>26</v>
      </c>
      <c r="I543" s="6" t="s">
        <v>27</v>
      </c>
      <c r="J543" s="29" t="s">
        <v>1139</v>
      </c>
      <c r="K543" s="1">
        <f t="shared" si="24"/>
        <v>1339</v>
      </c>
      <c r="L543" s="1" t="str">
        <f t="shared" si="25"/>
        <v>53B</v>
      </c>
      <c r="M543" s="33" t="str">
        <f t="shared" si="26"/>
        <v>0x0053B</v>
      </c>
    </row>
    <row r="544" spans="1:13" ht="60.75" x14ac:dyDescent="0.25">
      <c r="A544" s="16" t="s">
        <v>1094</v>
      </c>
      <c r="B544" s="15" t="s">
        <v>10</v>
      </c>
      <c r="C544" s="17">
        <v>1341</v>
      </c>
      <c r="D544" s="5" t="s">
        <v>1685</v>
      </c>
      <c r="E544" s="15">
        <v>1</v>
      </c>
      <c r="F544" s="16" t="s">
        <v>1696</v>
      </c>
      <c r="G544" s="10" t="s">
        <v>1695</v>
      </c>
      <c r="H544" s="10"/>
      <c r="I544" s="10"/>
      <c r="J544" s="31" t="s">
        <v>1094</v>
      </c>
      <c r="K544" s="1">
        <f t="shared" si="24"/>
        <v>1340</v>
      </c>
      <c r="L544" s="1" t="str">
        <f t="shared" si="25"/>
        <v>53C</v>
      </c>
      <c r="M544" s="33" t="str">
        <f t="shared" si="26"/>
        <v>0x0053C</v>
      </c>
    </row>
    <row r="545" spans="1:13" ht="60.75" x14ac:dyDescent="0.25">
      <c r="A545" s="16" t="s">
        <v>1706</v>
      </c>
      <c r="B545" s="15" t="s">
        <v>10</v>
      </c>
      <c r="C545" s="17">
        <v>1350</v>
      </c>
      <c r="D545" s="5" t="s">
        <v>1705</v>
      </c>
      <c r="E545" s="15">
        <v>1</v>
      </c>
      <c r="F545" s="16" t="s">
        <v>1696</v>
      </c>
      <c r="G545" s="10" t="s">
        <v>1695</v>
      </c>
      <c r="H545" s="10"/>
      <c r="I545" s="10"/>
      <c r="J545" s="31" t="s">
        <v>1094</v>
      </c>
      <c r="K545" s="1">
        <f t="shared" ref="K545" si="27">C545-1</f>
        <v>1349</v>
      </c>
      <c r="L545" s="1" t="str">
        <f t="shared" ref="L545" si="28">DEC2HEX(K545)</f>
        <v>545</v>
      </c>
      <c r="M545" s="33" t="str">
        <f t="shared" ref="M545" si="29">_xlfn.CONCAT("0x00", L545)</f>
        <v>0x00545</v>
      </c>
    </row>
  </sheetData>
  <autoFilter ref="A5:J544" xr:uid="{868AFE23-4726-4357-995A-98AE9E039973}">
    <sortState xmlns:xlrd2="http://schemas.microsoft.com/office/spreadsheetml/2017/richdata2" ref="A6:J544">
      <sortCondition ref="C5:C544"/>
    </sortState>
  </autoFilter>
  <mergeCells count="5">
    <mergeCell ref="C3:D3"/>
    <mergeCell ref="A1:I1"/>
    <mergeCell ref="A4:I4"/>
    <mergeCell ref="A2:F2"/>
    <mergeCell ref="G2:I2"/>
  </mergeCells>
  <phoneticPr fontId="6" type="noConversion"/>
  <dataValidations disablePrompts="1" count="1">
    <dataValidation type="list" allowBlank="1" showInputMessage="1" showErrorMessage="1" sqref="B5:B95 B164 B490:B505 B439" xr:uid="{CC6C9A27-F118-4503-B3FB-F387BCAAEE46}">
      <formula1>"R,W,R/W"</formula1>
    </dataValidation>
  </dataValidations>
  <pageMargins left="0.24" right="0.19" top="0.42" bottom="0.23" header="0.3" footer="0.09"/>
  <pageSetup scale="33" fitToHeight="0" orientation="landscape" horizontalDpi="90" verticalDpi="90" r:id="rId1"/>
  <headerFooter>
    <oddFooter>&amp;L&amp;1#&amp;"Calibri"&amp;10&amp;K737373Caterpillar: Confidential Green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A4AC9-177A-4E52-BFAD-BC3A079E2D9C}">
  <sheetPr>
    <pageSetUpPr fitToPage="1"/>
  </sheetPr>
  <dimension ref="A1:C4"/>
  <sheetViews>
    <sheetView workbookViewId="0">
      <selection activeCell="C14" sqref="C14"/>
    </sheetView>
  </sheetViews>
  <sheetFormatPr defaultRowHeight="15" x14ac:dyDescent="0.25"/>
  <cols>
    <col min="1" max="1" width="11.28515625" bestFit="1" customWidth="1"/>
    <col min="2" max="2" width="38.7109375" customWidth="1"/>
    <col min="3" max="3" width="68.28515625" bestFit="1" customWidth="1"/>
  </cols>
  <sheetData>
    <row r="1" spans="1:3" ht="21" x14ac:dyDescent="0.35">
      <c r="A1" s="34" t="s">
        <v>1707</v>
      </c>
      <c r="B1" s="35" t="s">
        <v>1708</v>
      </c>
      <c r="C1" s="36" t="s">
        <v>1710</v>
      </c>
    </row>
    <row r="2" spans="1:3" x14ac:dyDescent="0.25">
      <c r="A2" t="s">
        <v>995</v>
      </c>
      <c r="B2" t="s">
        <v>1712</v>
      </c>
      <c r="C2" t="s">
        <v>1709</v>
      </c>
    </row>
    <row r="3" spans="1:3" x14ac:dyDescent="0.25">
      <c r="A3" s="25" t="s">
        <v>1713</v>
      </c>
      <c r="B3" t="s">
        <v>1714</v>
      </c>
      <c r="C3" t="s">
        <v>1711</v>
      </c>
    </row>
    <row r="4" spans="1:3" x14ac:dyDescent="0.25">
      <c r="A4" s="25"/>
      <c r="B4" s="24"/>
    </row>
  </sheetData>
  <printOptions gridLines="1"/>
  <pageMargins left="0.7" right="0.7" top="0.75" bottom="0.75" header="0.3" footer="0.3"/>
  <pageSetup fitToHeight="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3be0641f-33ac-451e-86a8-90c588994b4d" xsi:nil="true"/>
    <lcf76f155ced4ddcb4097134ff3c332f xmlns="ef6a3579-fcd9-49ac-807e-664d75fc9608">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067E60F9DE9FF478C164F6C3C38818E" ma:contentTypeVersion="10" ma:contentTypeDescription="Create a new document." ma:contentTypeScope="" ma:versionID="82c655d44d2d6c1e94fff889bf0eef7a">
  <xsd:schema xmlns:xsd="http://www.w3.org/2001/XMLSchema" xmlns:xs="http://www.w3.org/2001/XMLSchema" xmlns:p="http://schemas.microsoft.com/office/2006/metadata/properties" xmlns:ns2="ef6a3579-fcd9-49ac-807e-664d75fc9608" xmlns:ns3="3be0641f-33ac-451e-86a8-90c588994b4d" targetNamespace="http://schemas.microsoft.com/office/2006/metadata/properties" ma:root="true" ma:fieldsID="e99d00b201c95fb0685d1e0cd10edd32" ns2:_="" ns3:_="">
    <xsd:import namespace="ef6a3579-fcd9-49ac-807e-664d75fc9608"/>
    <xsd:import namespace="3be0641f-33ac-451e-86a8-90c588994b4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f6a3579-fcd9-49ac-807e-664d75fc960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3015fd09-0179-470c-af6c-fc50529850a5"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e0641f-33ac-451e-86a8-90c588994b4d"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5e1d51c-4208-44ec-9357-2ed7c3a5024d}" ma:internalName="TaxCatchAll" ma:showField="CatchAllData" ma:web="3be0641f-33ac-451e-86a8-90c588994b4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F892DBE-A3DC-44B2-9681-B6A1D619207D}">
  <ds:schemaRefs>
    <ds:schemaRef ds:uri="http://schemas.microsoft.com/sharepoint/v3/contenttype/forms"/>
  </ds:schemaRefs>
</ds:datastoreItem>
</file>

<file path=customXml/itemProps2.xml><?xml version="1.0" encoding="utf-8"?>
<ds:datastoreItem xmlns:ds="http://schemas.openxmlformats.org/officeDocument/2006/customXml" ds:itemID="{5ECE8FEE-99A1-4804-8758-52E8AEE71306}">
  <ds:schemaRefs>
    <ds:schemaRef ds:uri="32bbcc4a-ea0d-4154-bb4c-c0dd5d0f3e13"/>
    <ds:schemaRef ds:uri="http://schemas.microsoft.com/office/2006/documentManagement/types"/>
    <ds:schemaRef ds:uri="http://purl.org/dc/elements/1.1/"/>
    <ds:schemaRef ds:uri="http://schemas.microsoft.com/office/2006/metadata/properties"/>
    <ds:schemaRef ds:uri="http://purl.org/dc/terms/"/>
    <ds:schemaRef ds:uri="http://purl.org/dc/dcmitype/"/>
    <ds:schemaRef ds:uri="http://www.w3.org/XML/1998/namespace"/>
    <ds:schemaRef ds:uri="http://schemas.microsoft.com/office/infopath/2007/PartnerControls"/>
    <ds:schemaRef ds:uri="http://schemas.openxmlformats.org/package/2006/metadata/core-properties"/>
    <ds:schemaRef ds:uri="b11a0cbf-3925-43dd-a3e7-adc6c25708d2"/>
  </ds:schemaRefs>
</ds:datastoreItem>
</file>

<file path=customXml/itemProps3.xml><?xml version="1.0" encoding="utf-8"?>
<ds:datastoreItem xmlns:ds="http://schemas.openxmlformats.org/officeDocument/2006/customXml" ds:itemID="{E4C8445C-7382-43C2-A287-A7CC39F7163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SCADA_Read</vt:lpstr>
      <vt:lpstr>Change History</vt:lpstr>
      <vt:lpstr>SCADA_Read!Print_Titles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Vishnu Duggireddy</dc:creator>
  <cp:keywords/>
  <dc:description/>
  <cp:lastModifiedBy>Vishnu Duggireddy</cp:lastModifiedBy>
  <cp:revision/>
  <cp:lastPrinted>2025-06-06T16:03:29Z</cp:lastPrinted>
  <dcterms:created xsi:type="dcterms:W3CDTF">2023-01-24T17:21:20Z</dcterms:created>
  <dcterms:modified xsi:type="dcterms:W3CDTF">2025-06-06T18:51:57Z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0x010100F067E60F9DE9FF478C164F6C3C38818E</vt:lpwstr>
  </property>
  <property fmtid="{D5CDD505-2E9C-101B-9397-08002B2CF9AE}" pid="4" name="MSIP_Label_fb5e2db6-eecf-4aa2-8fc3-174bf94bce19_Enabled">
    <vt:lpwstr>true</vt:lpwstr>
  </property>
  <property fmtid="{D5CDD505-2E9C-101B-9397-08002B2CF9AE}" pid="5" name="MSIP_Label_fb5e2db6-eecf-4aa2-8fc3-174bf94bce19_SetDate">
    <vt:lpwstr>2023-06-08T20:44:18Z</vt:lpwstr>
  </property>
  <property fmtid="{D5CDD505-2E9C-101B-9397-08002B2CF9AE}" pid="6" name="MSIP_Label_fb5e2db6-eecf-4aa2-8fc3-174bf94bce19_Method">
    <vt:lpwstr>Standard</vt:lpwstr>
  </property>
  <property fmtid="{D5CDD505-2E9C-101B-9397-08002B2CF9AE}" pid="7" name="MSIP_Label_fb5e2db6-eecf-4aa2-8fc3-174bf94bce19_Name">
    <vt:lpwstr>fb5e2db6-eecf-4aa2-8fc3-174bf94bce19</vt:lpwstr>
  </property>
  <property fmtid="{D5CDD505-2E9C-101B-9397-08002B2CF9AE}" pid="8" name="MSIP_Label_fb5e2db6-eecf-4aa2-8fc3-174bf94bce19_SiteId">
    <vt:lpwstr>ceb177bf-013b-49ab-8a9c-4abce32afc1e</vt:lpwstr>
  </property>
  <property fmtid="{D5CDD505-2E9C-101B-9397-08002B2CF9AE}" pid="9" name="MSIP_Label_fb5e2db6-eecf-4aa2-8fc3-174bf94bce19_ActionId">
    <vt:lpwstr>59b3a6da-344c-4715-bd80-c798daba17c8</vt:lpwstr>
  </property>
  <property fmtid="{D5CDD505-2E9C-101B-9397-08002B2CF9AE}" pid="10" name="MSIP_Label_fb5e2db6-eecf-4aa2-8fc3-174bf94bce19_ContentBits">
    <vt:lpwstr>2</vt:lpwstr>
  </property>
</Properties>
</file>