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Read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b val="1"/>
      <color rgb="FF1A1A1A"/>
      <sz val="16"/>
    </font>
    <font>
      <name val="Calibri"/>
      <b val="1"/>
      <color rgb="FFFFFFFF"/>
      <sz val="12"/>
    </font>
    <font>
      <name val="Calibri"/>
      <b val="1"/>
      <color rgb="FF1A1A1A"/>
      <sz val="12"/>
    </font>
    <font>
      <name val="Times New Roman"/>
      <b val="1"/>
      <sz val="11"/>
    </font>
    <font>
      <name val="Times New Roman"/>
      <sz val="11"/>
    </font>
    <font>
      <name val="Consolas"/>
      <color rgb="FF555555"/>
      <sz val="10"/>
    </font>
    <font>
      <name val="Consolas"/>
      <b val="1"/>
      <color rgb="FF17A2B8"/>
      <sz val="10"/>
    </font>
    <font>
      <name val="Calibri"/>
      <sz val="9"/>
    </font>
    <font>
      <name val="Times New Roman"/>
      <i val="1"/>
      <color rgb="FF888888"/>
      <sz val="10"/>
    </font>
    <font>
      <name val="Times New Roman"/>
      <color rgb="FF888888"/>
      <sz val="10"/>
    </font>
    <font>
      <name val="Consolas"/>
      <color rgb="FF888888"/>
      <sz val="10"/>
    </font>
    <font>
      <name val="Consolas"/>
      <color rgb="FFAAAAAA"/>
      <sz val="9"/>
    </font>
  </fonts>
  <fills count="9">
    <fill>
      <patternFill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CD11"/>
        <bgColor rgb="FFFFCD11"/>
      </patternFill>
    </fill>
    <fill>
      <patternFill patternType="solid">
        <fgColor rgb="FF2C2C2C"/>
        <bgColor rgb="FF2C2C2C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A2B8"/>
    <outlinePr summaryBelow="1" summaryRight="1"/>
    <pageSetUpPr/>
  </sheetPr>
  <dimension ref="A1:M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 — READ Registers — 1-Second Fast Poll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⚡ BLOCK P1 — Read(2, 4) — Event/Alarm Status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45" customHeight="1">
      <c r="A5" s="8" t="inlineStr">
        <is>
          <t>System Event Lamp Status</t>
        </is>
      </c>
      <c r="B5" s="9" t="inlineStr">
        <is>
          <t>R</t>
        </is>
      </c>
      <c r="C5" s="9" t="n">
        <v>2</v>
      </c>
      <c r="D5" s="10" t="inlineStr">
        <is>
          <t>0x0001</t>
        </is>
      </c>
      <c r="E5" s="9" t="n">
        <v>1</v>
      </c>
      <c r="F5" s="11" t="inlineStr">
        <is>
          <t>Indicates system lamp status</t>
        </is>
      </c>
      <c r="G5" s="11" t="inlineStr">
        <is>
          <t>Bits 15:4 Unused
Bits 3:2 Amber Lamp (Boolean)
Bits 1:0 Red Lamp (Boolean)</t>
        </is>
      </c>
      <c r="H5" s="9" t="inlineStr"/>
      <c r="I5" s="12" t="inlineStr">
        <is>
          <t>Bit-packed</t>
        </is>
      </c>
      <c r="J5" s="13" t="inlineStr">
        <is>
          <t>P1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60" customHeight="1">
      <c r="A6" s="8" t="inlineStr">
        <is>
          <t>System Horn Active Status</t>
        </is>
      </c>
      <c r="B6" s="9" t="inlineStr">
        <is>
          <t>R</t>
        </is>
      </c>
      <c r="C6" s="9" t="n">
        <v>3</v>
      </c>
      <c r="D6" s="10" t="inlineStr">
        <is>
          <t>0x0002</t>
        </is>
      </c>
      <c r="E6" s="9" t="n">
        <v>1</v>
      </c>
      <c r="F6" s="11" t="inlineStr">
        <is>
          <t>Indicates audible alert horn status</t>
        </is>
      </c>
      <c r="G6" s="11" t="inlineStr">
        <is>
          <t>0 = FALSE
1 = TRUE
2 = ERROR
3 = DISABLED OR NOT AVAILABLE</t>
        </is>
      </c>
      <c r="H6" s="9" t="inlineStr"/>
      <c r="I6" s="12" t="inlineStr">
        <is>
          <t>0–3</t>
        </is>
      </c>
      <c r="J6" s="13" t="inlineStr">
        <is>
          <t>P1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60" customHeight="1">
      <c r="A7" s="8" t="inlineStr">
        <is>
          <t>Hard Shutdown Status</t>
        </is>
      </c>
      <c r="B7" s="9" t="inlineStr">
        <is>
          <t>R</t>
        </is>
      </c>
      <c r="C7" s="9" t="n">
        <v>4</v>
      </c>
      <c r="D7" s="10" t="inlineStr">
        <is>
          <t>0x0003</t>
        </is>
      </c>
      <c r="E7" s="9" t="n">
        <v>1</v>
      </c>
      <c r="F7" s="11" t="inlineStr">
        <is>
          <t>Indicates hard shutdown is active</t>
        </is>
      </c>
      <c r="G7" s="11" t="inlineStr">
        <is>
          <t>0 = FALSE
1 = TRUE
2 = ERROR
3 = DISABLED OR NOT AVAILABLE</t>
        </is>
      </c>
      <c r="H7" s="9" t="inlineStr"/>
      <c r="I7" s="12" t="inlineStr">
        <is>
          <t>0–3</t>
        </is>
      </c>
      <c r="J7" s="13" t="inlineStr">
        <is>
          <t>P1</t>
        </is>
      </c>
      <c r="K7" s="14">
        <f>C7-1</f>
        <v/>
      </c>
      <c r="L7" s="14">
        <f>DEC2HEX(K7)</f>
        <v/>
      </c>
      <c r="M7" s="14">
        <f>CONCAT("0x",TEXT(K7,"0000"))</f>
        <v/>
      </c>
    </row>
    <row r="8" ht="60" customHeight="1">
      <c r="A8" s="8" t="inlineStr">
        <is>
          <t>Soft Shutdown Status</t>
        </is>
      </c>
      <c r="B8" s="9" t="inlineStr">
        <is>
          <t>R</t>
        </is>
      </c>
      <c r="C8" s="9" t="n">
        <v>5</v>
      </c>
      <c r="D8" s="10" t="inlineStr">
        <is>
          <t>0x0004</t>
        </is>
      </c>
      <c r="E8" s="9" t="n">
        <v>1</v>
      </c>
      <c r="F8" s="11" t="inlineStr">
        <is>
          <t>Indicates soft shutdown is active</t>
        </is>
      </c>
      <c r="G8" s="11" t="inlineStr">
        <is>
          <t>0 = FALSE
1 = TRUE
2 = ERROR
3 = DISABLED OR NOT AVAILABLE</t>
        </is>
      </c>
      <c r="H8" s="9" t="inlineStr"/>
      <c r="I8" s="12" t="inlineStr">
        <is>
          <t>0–3</t>
        </is>
      </c>
      <c r="J8" s="13" t="inlineStr">
        <is>
          <t>P1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24" customHeight="1">
      <c r="A9" s="15" t="inlineStr">
        <is>
          <t>🔋 BLOCK P2 — Read(40, 1) — Battery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8" customHeight="1">
      <c r="A10" s="8" t="inlineStr">
        <is>
          <t>Battery Voltage</t>
        </is>
      </c>
      <c r="B10" s="9" t="inlineStr">
        <is>
          <t>R</t>
        </is>
      </c>
      <c r="C10" s="9" t="n">
        <v>40</v>
      </c>
      <c r="D10" s="10" t="inlineStr">
        <is>
          <t>0x0027</t>
        </is>
      </c>
      <c r="E10" s="9" t="n">
        <v>1</v>
      </c>
      <c r="F10" s="11" t="inlineStr">
        <is>
          <t>DC battery voltage at controller input</t>
        </is>
      </c>
      <c r="G10" s="11" t="inlineStr">
        <is>
          <t>1/20 V / bit</t>
        </is>
      </c>
      <c r="H10" s="9" t="inlineStr">
        <is>
          <t>0 V</t>
        </is>
      </c>
      <c r="I10" s="12" t="inlineStr">
        <is>
          <t>0 to 3276.75 V</t>
        </is>
      </c>
      <c r="J10" s="13" t="inlineStr">
        <is>
          <t>P2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24" customHeight="1">
      <c r="A11" s="6" t="inlineStr">
        <is>
          <t>🚨 BLOCK P3 — Read(101, 10) — User Alarm Groups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30" customHeight="1">
      <c r="A12" s="8" t="inlineStr">
        <is>
          <t>User Alarm Group A</t>
        </is>
      </c>
      <c r="B12" s="9" t="inlineStr">
        <is>
          <t>R</t>
        </is>
      </c>
      <c r="C12" s="9" t="n">
        <v>101</v>
      </c>
      <c r="D12" s="10" t="inlineStr">
        <is>
          <t>0x0064</t>
        </is>
      </c>
      <c r="E12" s="9" t="n">
        <v>1</v>
      </c>
      <c r="F12" s="11" t="inlineStr">
        <is>
          <t>Configurable alarm group — 16 user-mapped SPN-FMI events</t>
        </is>
      </c>
      <c r="G12" s="11" t="inlineStr">
        <is>
          <t>Bit 0–15 = Events #1–#16
1 = Alarm ON, 0 = Alarm OFF</t>
        </is>
      </c>
      <c r="H12" s="9" t="inlineStr"/>
      <c r="I12" s="12" t="inlineStr">
        <is>
          <t>Bit-packed</t>
        </is>
      </c>
      <c r="J12" s="13" t="inlineStr">
        <is>
          <t>P3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8" t="inlineStr">
        <is>
          <t>User Alarm Group B</t>
        </is>
      </c>
      <c r="B13" s="9" t="inlineStr">
        <is>
          <t>R</t>
        </is>
      </c>
      <c r="C13" s="9" t="n">
        <v>102</v>
      </c>
      <c r="D13" s="10" t="inlineStr">
        <is>
          <t>0x0065</t>
        </is>
      </c>
      <c r="E13" s="9" t="n">
        <v>1</v>
      </c>
      <c r="F13" s="11" t="inlineStr">
        <is>
          <t>Configurable alarm group — 16 user-mapped SPN-FMI events</t>
        </is>
      </c>
      <c r="G13" s="11" t="inlineStr">
        <is>
          <t>Bit 0–15 = Events #1–#16</t>
        </is>
      </c>
      <c r="H13" s="9" t="inlineStr"/>
      <c r="I13" s="12" t="inlineStr">
        <is>
          <t>Bit-packed</t>
        </is>
      </c>
      <c r="J13" s="13" t="inlineStr">
        <is>
          <t>P3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User Alarm Group C</t>
        </is>
      </c>
      <c r="B14" s="9" t="inlineStr">
        <is>
          <t>R</t>
        </is>
      </c>
      <c r="C14" s="9" t="n">
        <v>103</v>
      </c>
      <c r="D14" s="10" t="inlineStr">
        <is>
          <t>0x0066</t>
        </is>
      </c>
      <c r="E14" s="9" t="n">
        <v>1</v>
      </c>
      <c r="F14" s="11" t="inlineStr">
        <is>
          <t>Configurable alarm group — 16 user-mapped SPN-FMI events</t>
        </is>
      </c>
      <c r="G14" s="11" t="inlineStr">
        <is>
          <t>Bit 0–15 = Events #1–#16</t>
        </is>
      </c>
      <c r="H14" s="9" t="inlineStr"/>
      <c r="I14" s="12" t="inlineStr">
        <is>
          <t>Bit-packed</t>
        </is>
      </c>
      <c r="J14" s="13" t="inlineStr">
        <is>
          <t>P3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User Alarm Group D</t>
        </is>
      </c>
      <c r="B15" s="9" t="inlineStr">
        <is>
          <t>R</t>
        </is>
      </c>
      <c r="C15" s="9" t="n">
        <v>104</v>
      </c>
      <c r="D15" s="10" t="inlineStr">
        <is>
          <t>0x0067</t>
        </is>
      </c>
      <c r="E15" s="9" t="n">
        <v>1</v>
      </c>
      <c r="F15" s="11" t="inlineStr">
        <is>
          <t>Configurable alarm group — 16 user-mapped SPN-FMI events</t>
        </is>
      </c>
      <c r="G15" s="11" t="inlineStr">
        <is>
          <t>Bit 0–15 = Events #1–#16</t>
        </is>
      </c>
      <c r="H15" s="9" t="inlineStr"/>
      <c r="I15" s="12" t="inlineStr">
        <is>
          <t>Bit-packed</t>
        </is>
      </c>
      <c r="J15" s="13" t="inlineStr">
        <is>
          <t>P3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8" t="inlineStr">
        <is>
          <t>User Alarm Group E</t>
        </is>
      </c>
      <c r="B16" s="9" t="inlineStr">
        <is>
          <t>R</t>
        </is>
      </c>
      <c r="C16" s="9" t="n">
        <v>105</v>
      </c>
      <c r="D16" s="10" t="inlineStr">
        <is>
          <t>0x0068</t>
        </is>
      </c>
      <c r="E16" s="9" t="n">
        <v>1</v>
      </c>
      <c r="F16" s="11" t="inlineStr">
        <is>
          <t>Configurable alarm group — 16 user-mapped SPN-FMI events</t>
        </is>
      </c>
      <c r="G16" s="11" t="inlineStr">
        <is>
          <t>Bit 0–15 = Events #1–#16</t>
        </is>
      </c>
      <c r="H16" s="9" t="inlineStr"/>
      <c r="I16" s="12" t="inlineStr">
        <is>
          <t>Bit-packed</t>
        </is>
      </c>
      <c r="J16" s="13" t="inlineStr">
        <is>
          <t>P3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8" t="inlineStr">
        <is>
          <t>User Alarm Group F</t>
        </is>
      </c>
      <c r="B17" s="9" t="inlineStr">
        <is>
          <t>R</t>
        </is>
      </c>
      <c r="C17" s="9" t="n">
        <v>106</v>
      </c>
      <c r="D17" s="10" t="inlineStr">
        <is>
          <t>0x0069</t>
        </is>
      </c>
      <c r="E17" s="9" t="n">
        <v>1</v>
      </c>
      <c r="F17" s="11" t="inlineStr">
        <is>
          <t>Configurable alarm group — 16 user-mapped SPN-FMI events</t>
        </is>
      </c>
      <c r="G17" s="11" t="inlineStr">
        <is>
          <t>Bit 0–15 = Events #1–#16</t>
        </is>
      </c>
      <c r="H17" s="9" t="inlineStr"/>
      <c r="I17" s="12" t="inlineStr">
        <is>
          <t>Bit-packed</t>
        </is>
      </c>
      <c r="J17" s="13" t="inlineStr">
        <is>
          <t>P3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18" customHeight="1">
      <c r="A18" s="8" t="inlineStr">
        <is>
          <t>User Alarm Group G</t>
        </is>
      </c>
      <c r="B18" s="9" t="inlineStr">
        <is>
          <t>R</t>
        </is>
      </c>
      <c r="C18" s="9" t="n">
        <v>107</v>
      </c>
      <c r="D18" s="10" t="inlineStr">
        <is>
          <t>0x006A</t>
        </is>
      </c>
      <c r="E18" s="9" t="n">
        <v>1</v>
      </c>
      <c r="F18" s="11" t="inlineStr">
        <is>
          <t>Configurable alarm group — 16 user-mapped SPN-FMI events</t>
        </is>
      </c>
      <c r="G18" s="11" t="inlineStr">
        <is>
          <t>Bit 0–15 = Events #1–#16</t>
        </is>
      </c>
      <c r="H18" s="9" t="inlineStr"/>
      <c r="I18" s="12" t="inlineStr">
        <is>
          <t>Bit-packed</t>
        </is>
      </c>
      <c r="J18" s="13" t="inlineStr">
        <is>
          <t>P3</t>
        </is>
      </c>
      <c r="K18" s="14">
        <f>C18-1</f>
        <v/>
      </c>
      <c r="L18" s="14">
        <f>DEC2HEX(K18)</f>
        <v/>
      </c>
      <c r="M18" s="14">
        <f>CONCAT("0x",TEXT(K18,"0000"))</f>
        <v/>
      </c>
    </row>
    <row r="19" ht="18" customHeight="1">
      <c r="A19" s="8" t="inlineStr">
        <is>
          <t>User Alarm Group H</t>
        </is>
      </c>
      <c r="B19" s="9" t="inlineStr">
        <is>
          <t>R</t>
        </is>
      </c>
      <c r="C19" s="9" t="n">
        <v>108</v>
      </c>
      <c r="D19" s="10" t="inlineStr">
        <is>
          <t>0x006B</t>
        </is>
      </c>
      <c r="E19" s="9" t="n">
        <v>1</v>
      </c>
      <c r="F19" s="11" t="inlineStr">
        <is>
          <t>Configurable alarm group — 16 user-mapped SPN-FMI events</t>
        </is>
      </c>
      <c r="G19" s="11" t="inlineStr">
        <is>
          <t>Bit 0–15 = Events #1–#16</t>
        </is>
      </c>
      <c r="H19" s="9" t="inlineStr"/>
      <c r="I19" s="12" t="inlineStr">
        <is>
          <t>Bit-packed</t>
        </is>
      </c>
      <c r="J19" s="13" t="inlineStr">
        <is>
          <t>P3</t>
        </is>
      </c>
      <c r="K19" s="14">
        <f>C19-1</f>
        <v/>
      </c>
      <c r="L19" s="14">
        <f>DEC2HEX(K19)</f>
        <v/>
      </c>
      <c r="M19" s="14">
        <f>CONCAT("0x",TEXT(K19,"0000"))</f>
        <v/>
      </c>
    </row>
    <row r="20" ht="18" customHeight="1">
      <c r="A20" s="8" t="inlineStr">
        <is>
          <t>User Alarm Group I</t>
        </is>
      </c>
      <c r="B20" s="9" t="inlineStr">
        <is>
          <t>R</t>
        </is>
      </c>
      <c r="C20" s="9" t="n">
        <v>109</v>
      </c>
      <c r="D20" s="10" t="inlineStr">
        <is>
          <t>0x006C</t>
        </is>
      </c>
      <c r="E20" s="9" t="n">
        <v>1</v>
      </c>
      <c r="F20" s="11" t="inlineStr">
        <is>
          <t>Configurable alarm group — 16 user-mapped SPN-FMI events</t>
        </is>
      </c>
      <c r="G20" s="11" t="inlineStr">
        <is>
          <t>Bit 0–15 = Events #1–#16</t>
        </is>
      </c>
      <c r="H20" s="9" t="inlineStr"/>
      <c r="I20" s="12" t="inlineStr">
        <is>
          <t>Bit-packed</t>
        </is>
      </c>
      <c r="J20" s="13" t="inlineStr">
        <is>
          <t>P3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8" t="inlineStr">
        <is>
          <t>User Alarm Group J</t>
        </is>
      </c>
      <c r="B21" s="9" t="inlineStr">
        <is>
          <t>R</t>
        </is>
      </c>
      <c r="C21" s="9" t="n">
        <v>110</v>
      </c>
      <c r="D21" s="10" t="inlineStr">
        <is>
          <t>0x006D</t>
        </is>
      </c>
      <c r="E21" s="9" t="n">
        <v>1</v>
      </c>
      <c r="F21" s="11" t="inlineStr">
        <is>
          <t>Configurable alarm group — 16 user-mapped SPN-FMI events</t>
        </is>
      </c>
      <c r="G21" s="11" t="inlineStr">
        <is>
          <t>Bit 0–15 = Events #1–#16</t>
        </is>
      </c>
      <c r="H21" s="9" t="inlineStr"/>
      <c r="I21" s="12" t="inlineStr">
        <is>
          <t>Bit-packed</t>
        </is>
      </c>
      <c r="J21" s="13" t="inlineStr">
        <is>
          <t>P3</t>
        </is>
      </c>
      <c r="K21" s="14">
        <f>C21-1</f>
        <v/>
      </c>
      <c r="L21" s="14">
        <f>DEC2HEX(K21)</f>
        <v/>
      </c>
      <c r="M21" s="14">
        <f>CONCAT("0x",TEXT(K21,"0000"))</f>
        <v/>
      </c>
    </row>
    <row r="22" ht="24" customHeight="1">
      <c r="A22" s="17" t="inlineStr">
        <is>
          <t>⚡ BLOCK P4 — Read(150, 10) — Generator Averages &amp; Power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 ht="18" customHeight="1">
      <c r="A23" s="8" t="inlineStr">
        <is>
          <t>Generator Average Line-Line Voltage</t>
        </is>
      </c>
      <c r="B23" s="9" t="inlineStr">
        <is>
          <t>R</t>
        </is>
      </c>
      <c r="C23" s="9" t="n">
        <v>150</v>
      </c>
      <c r="D23" s="10" t="inlineStr">
        <is>
          <t>0x0095</t>
        </is>
      </c>
      <c r="E23" s="9" t="n">
        <v>1</v>
      </c>
      <c r="F23" s="11" t="inlineStr">
        <is>
          <t>Average Line to Line RMS voltage at generator output</t>
        </is>
      </c>
      <c r="G23" s="11" t="inlineStr">
        <is>
          <t>1 V / bit</t>
        </is>
      </c>
      <c r="H23" s="9" t="inlineStr">
        <is>
          <t>0 V</t>
        </is>
      </c>
      <c r="I23" s="12" t="inlineStr">
        <is>
          <t>0 to 64255 V</t>
        </is>
      </c>
      <c r="J23" s="13" t="inlineStr">
        <is>
          <t>P4</t>
        </is>
      </c>
      <c r="K23" s="14">
        <f>C23-1</f>
        <v/>
      </c>
      <c r="L23" s="14">
        <f>DEC2HEX(K23)</f>
        <v/>
      </c>
      <c r="M23" s="14">
        <f>CONCAT("0x",TEXT(K23,"0000"))</f>
        <v/>
      </c>
    </row>
    <row r="24" ht="18" customHeight="1">
      <c r="A24" s="8" t="inlineStr">
        <is>
          <t>Generator Average Current</t>
        </is>
      </c>
      <c r="B24" s="9" t="inlineStr">
        <is>
          <t>R</t>
        </is>
      </c>
      <c r="C24" s="9" t="n">
        <v>152</v>
      </c>
      <c r="D24" s="10" t="inlineStr">
        <is>
          <t>0x0097</t>
        </is>
      </c>
      <c r="E24" s="9" t="n">
        <v>1</v>
      </c>
      <c r="F24" s="11" t="inlineStr">
        <is>
          <t>Average RMS current at generator output</t>
        </is>
      </c>
      <c r="G24" s="11" t="inlineStr">
        <is>
          <t>1 A / bit</t>
        </is>
      </c>
      <c r="H24" s="9" t="inlineStr">
        <is>
          <t>0 A</t>
        </is>
      </c>
      <c r="I24" s="12" t="inlineStr">
        <is>
          <t>0 to 64255 A</t>
        </is>
      </c>
      <c r="J24" s="13" t="inlineStr">
        <is>
          <t>P4</t>
        </is>
      </c>
      <c r="K24" s="14">
        <f>C24-1</f>
        <v/>
      </c>
      <c r="L24" s="14">
        <f>DEC2HEX(K24)</f>
        <v/>
      </c>
      <c r="M24" s="14">
        <f>CONCAT("0x",TEXT(K24,"0000"))</f>
        <v/>
      </c>
    </row>
    <row r="25" ht="18" customHeight="1">
      <c r="A25" s="8" t="inlineStr">
        <is>
          <t>Engine Speed</t>
        </is>
      </c>
      <c r="B25" s="9" t="inlineStr">
        <is>
          <t>R</t>
        </is>
      </c>
      <c r="C25" s="9" t="n">
        <v>154</v>
      </c>
      <c r="D25" s="10" t="inlineStr">
        <is>
          <t>0x0099</t>
        </is>
      </c>
      <c r="E25" s="9" t="n">
        <v>1</v>
      </c>
      <c r="F25" s="11" t="inlineStr">
        <is>
          <t>Engine RPM (from 200G via CAN)</t>
        </is>
      </c>
      <c r="G25" s="11" t="inlineStr">
        <is>
          <t>0.125 rpm / bit</t>
        </is>
      </c>
      <c r="H25" s="9" t="inlineStr">
        <is>
          <t>0 rpm</t>
        </is>
      </c>
      <c r="I25" s="12" t="inlineStr">
        <is>
          <t>0 to 8031.875 rpm</t>
        </is>
      </c>
      <c r="J25" s="13" t="inlineStr">
        <is>
          <t>P4</t>
        </is>
      </c>
      <c r="K25" s="14">
        <f>C25-1</f>
        <v/>
      </c>
      <c r="L25" s="14">
        <f>DEC2HEX(K25)</f>
        <v/>
      </c>
      <c r="M25" s="14">
        <f>CONCAT("0x",TEXT(K25,"0000"))</f>
        <v/>
      </c>
    </row>
    <row r="26" ht="18" customHeight="1">
      <c r="A26" s="8" t="inlineStr">
        <is>
          <t>Generator Total Real Power</t>
        </is>
      </c>
      <c r="B26" s="9" t="inlineStr">
        <is>
          <t>R</t>
        </is>
      </c>
      <c r="C26" s="9" t="n">
        <v>155</v>
      </c>
      <c r="D26" s="10" t="inlineStr">
        <is>
          <t>0x009A</t>
        </is>
      </c>
      <c r="E26" s="9" t="n">
        <v>2</v>
      </c>
      <c r="F26" s="11" t="inlineStr">
        <is>
          <t>Total real power (kW) delivered by the generator</t>
        </is>
      </c>
      <c r="G26" s="11" t="inlineStr">
        <is>
          <t>1 W / bit</t>
        </is>
      </c>
      <c r="H26" s="9" t="inlineStr">
        <is>
          <t>-2000000000 W</t>
        </is>
      </c>
      <c r="I26" s="12" t="inlineStr">
        <is>
          <t>-2B to +2.21B W</t>
        </is>
      </c>
      <c r="J26" s="13" t="inlineStr">
        <is>
          <t>P4</t>
        </is>
      </c>
      <c r="K26" s="14">
        <f>C26-1</f>
        <v/>
      </c>
      <c r="L26" s="14">
        <f>DEC2HEX(K26)</f>
        <v/>
      </c>
      <c r="M26" s="14">
        <f>CONCAT("0x",TEXT(K26,"0000"))</f>
        <v/>
      </c>
    </row>
    <row r="27" ht="18" customHeight="1">
      <c r="A27" s="19" t="inlineStr">
        <is>
          <t xml:space="preserve">  ↳ Generator Total Real Power (LSW)</t>
        </is>
      </c>
      <c r="B27" s="20" t="n"/>
      <c r="C27" s="21" t="n">
        <v>156</v>
      </c>
      <c r="D27" s="22" t="inlineStr">
        <is>
          <t>0x009B</t>
        </is>
      </c>
      <c r="E27" s="20" t="n"/>
      <c r="F27" s="19" t="inlineStr">
        <is>
          <t>Low word — combine: value = (MSW &lt;&lt; 16) | LSW, then apply scaling + offset</t>
        </is>
      </c>
      <c r="G27" s="20" t="n"/>
      <c r="H27" s="20" t="n"/>
      <c r="I27" s="20" t="n"/>
      <c r="J27" s="23" t="inlineStr">
        <is>
          <t>P4</t>
        </is>
      </c>
      <c r="K27" s="20" t="n"/>
      <c r="L27" s="20" t="n"/>
      <c r="M27" s="20" t="n"/>
    </row>
    <row r="28" ht="18" customHeight="1">
      <c r="A28" s="8" t="inlineStr">
        <is>
          <t>Generator Frequency</t>
        </is>
      </c>
      <c r="B28" s="9" t="inlineStr">
        <is>
          <t>R</t>
        </is>
      </c>
      <c r="C28" s="9" t="n">
        <v>157</v>
      </c>
      <c r="D28" s="10" t="inlineStr">
        <is>
          <t>0x009C</t>
        </is>
      </c>
      <c r="E28" s="9" t="n">
        <v>1</v>
      </c>
      <c r="F28" s="11" t="inlineStr">
        <is>
          <t>Average AC frequency at generator output</t>
        </is>
      </c>
      <c r="G28" s="11" t="inlineStr">
        <is>
          <t>1/128 Hz / bit</t>
        </is>
      </c>
      <c r="H28" s="9" t="inlineStr">
        <is>
          <t>0 Hz</t>
        </is>
      </c>
      <c r="I28" s="12" t="inlineStr">
        <is>
          <t>0 to 501.99 Hz</t>
        </is>
      </c>
      <c r="J28" s="13" t="inlineStr">
        <is>
          <t>P4</t>
        </is>
      </c>
      <c r="K28" s="14">
        <f>C28-1</f>
        <v/>
      </c>
      <c r="L28" s="14">
        <f>DEC2HEX(K28)</f>
        <v/>
      </c>
      <c r="M28" s="14">
        <f>CONCAT("0x",TEXT(K28,"0000"))</f>
        <v/>
      </c>
    </row>
    <row r="29" ht="18" customHeight="1">
      <c r="A29" s="8" t="inlineStr">
        <is>
          <t>Generator Average Power Factor</t>
        </is>
      </c>
      <c r="B29" s="9" t="inlineStr">
        <is>
          <t>R</t>
        </is>
      </c>
      <c r="C29" s="9" t="n">
        <v>159</v>
      </c>
      <c r="D29" s="10" t="inlineStr">
        <is>
          <t>0x009E</t>
        </is>
      </c>
      <c r="E29" s="9" t="n">
        <v>1</v>
      </c>
      <c r="F29" s="11" t="inlineStr">
        <is>
          <t>Average power factor at generator output</t>
        </is>
      </c>
      <c r="G29" s="11" t="inlineStr">
        <is>
          <t>1/16384 / bit</t>
        </is>
      </c>
      <c r="H29" s="9" t="inlineStr">
        <is>
          <t>-2</t>
        </is>
      </c>
      <c r="I29" s="12" t="inlineStr">
        <is>
          <t>-2.0 to +2.0</t>
        </is>
      </c>
      <c r="J29" s="13" t="inlineStr">
        <is>
          <t>P4</t>
        </is>
      </c>
      <c r="K29" s="14">
        <f>C29-1</f>
        <v/>
      </c>
      <c r="L29" s="14">
        <f>DEC2HEX(K29)</f>
        <v/>
      </c>
      <c r="M29" s="14">
        <f>CONCAT("0x",TEXT(K29,"0000"))</f>
        <v/>
      </c>
    </row>
    <row r="30" ht="24" customHeight="1">
      <c r="A30" s="17" t="inlineStr">
        <is>
          <t>⚡ BLOCK P5 — Read(180, 12) — Per-Phase Voltage/Current/PF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 ht="18" customHeight="1">
      <c r="A31" s="8" t="inlineStr">
        <is>
          <t>Voltage L1-L2</t>
        </is>
      </c>
      <c r="B31" s="9" t="inlineStr">
        <is>
          <t>R</t>
        </is>
      </c>
      <c r="C31" s="9" t="n">
        <v>180</v>
      </c>
      <c r="D31" s="10" t="inlineStr">
        <is>
          <t>0x00B3</t>
        </is>
      </c>
      <c r="E31" s="9" t="n">
        <v>1</v>
      </c>
      <c r="F31" s="11" t="inlineStr">
        <is>
          <t>Line to Line RMS voltage phase A-B</t>
        </is>
      </c>
      <c r="G31" s="11" t="inlineStr">
        <is>
          <t>1 V / bit</t>
        </is>
      </c>
      <c r="H31" s="9" t="inlineStr">
        <is>
          <t>0 V</t>
        </is>
      </c>
      <c r="I31" s="12" t="inlineStr">
        <is>
          <t>0 to 64255 V</t>
        </is>
      </c>
      <c r="J31" s="13" t="inlineStr">
        <is>
          <t>P5</t>
        </is>
      </c>
      <c r="K31" s="14">
        <f>C31-1</f>
        <v/>
      </c>
      <c r="L31" s="14">
        <f>DEC2HEX(K31)</f>
        <v/>
      </c>
      <c r="M31" s="14">
        <f>CONCAT("0x",TEXT(K31,"0000"))</f>
        <v/>
      </c>
    </row>
    <row r="32" ht="18" customHeight="1">
      <c r="A32" s="8" t="inlineStr">
        <is>
          <t>Voltage L2-L3</t>
        </is>
      </c>
      <c r="B32" s="9" t="inlineStr">
        <is>
          <t>R</t>
        </is>
      </c>
      <c r="C32" s="9" t="n">
        <v>181</v>
      </c>
      <c r="D32" s="10" t="inlineStr">
        <is>
          <t>0x00B4</t>
        </is>
      </c>
      <c r="E32" s="9" t="n">
        <v>1</v>
      </c>
      <c r="F32" s="11" t="inlineStr">
        <is>
          <t>Line to Line RMS voltage phase B-C</t>
        </is>
      </c>
      <c r="G32" s="11" t="inlineStr">
        <is>
          <t>1 V / bit</t>
        </is>
      </c>
      <c r="H32" s="9" t="inlineStr">
        <is>
          <t>0 V</t>
        </is>
      </c>
      <c r="I32" s="12" t="inlineStr">
        <is>
          <t>0 to 64255 V</t>
        </is>
      </c>
      <c r="J32" s="13" t="inlineStr">
        <is>
          <t>P5</t>
        </is>
      </c>
      <c r="K32" s="14">
        <f>C32-1</f>
        <v/>
      </c>
      <c r="L32" s="14">
        <f>DEC2HEX(K32)</f>
        <v/>
      </c>
      <c r="M32" s="14">
        <f>CONCAT("0x",TEXT(K32,"0000"))</f>
        <v/>
      </c>
    </row>
    <row r="33" ht="18" customHeight="1">
      <c r="A33" s="8" t="inlineStr">
        <is>
          <t>Voltage L3-L1</t>
        </is>
      </c>
      <c r="B33" s="9" t="inlineStr">
        <is>
          <t>R</t>
        </is>
      </c>
      <c r="C33" s="9" t="n">
        <v>182</v>
      </c>
      <c r="D33" s="10" t="inlineStr">
        <is>
          <t>0x00B5</t>
        </is>
      </c>
      <c r="E33" s="9" t="n">
        <v>1</v>
      </c>
      <c r="F33" s="11" t="inlineStr">
        <is>
          <t>Line to Line RMS voltage phase C-A</t>
        </is>
      </c>
      <c r="G33" s="11" t="inlineStr">
        <is>
          <t>1 V / bit</t>
        </is>
      </c>
      <c r="H33" s="9" t="inlineStr">
        <is>
          <t>0 V</t>
        </is>
      </c>
      <c r="I33" s="12" t="inlineStr">
        <is>
          <t>0 to 64255 V</t>
        </is>
      </c>
      <c r="J33" s="13" t="inlineStr">
        <is>
          <t>P5</t>
        </is>
      </c>
      <c r="K33" s="14">
        <f>C33-1</f>
        <v/>
      </c>
      <c r="L33" s="14">
        <f>DEC2HEX(K33)</f>
        <v/>
      </c>
      <c r="M33" s="14">
        <f>CONCAT("0x",TEXT(K33,"0000"))</f>
        <v/>
      </c>
    </row>
    <row r="34" ht="18" customHeight="1">
      <c r="A34" s="8" t="inlineStr">
        <is>
          <t>Voltage L1-N</t>
        </is>
      </c>
      <c r="B34" s="9" t="inlineStr">
        <is>
          <t>R</t>
        </is>
      </c>
      <c r="C34" s="9" t="n">
        <v>183</v>
      </c>
      <c r="D34" s="10" t="inlineStr">
        <is>
          <t>0x00B6</t>
        </is>
      </c>
      <c r="E34" s="9" t="n">
        <v>1</v>
      </c>
      <c r="F34" s="11" t="inlineStr">
        <is>
          <t>Line to Neutral RMS voltage phase A</t>
        </is>
      </c>
      <c r="G34" s="11" t="inlineStr">
        <is>
          <t>1 V / bit</t>
        </is>
      </c>
      <c r="H34" s="9" t="inlineStr">
        <is>
          <t>0 V</t>
        </is>
      </c>
      <c r="I34" s="12" t="inlineStr">
        <is>
          <t>0 to 64255 V</t>
        </is>
      </c>
      <c r="J34" s="13" t="inlineStr">
        <is>
          <t>P5</t>
        </is>
      </c>
      <c r="K34" s="14">
        <f>C34-1</f>
        <v/>
      </c>
      <c r="L34" s="14">
        <f>DEC2HEX(K34)</f>
        <v/>
      </c>
      <c r="M34" s="14">
        <f>CONCAT("0x",TEXT(K34,"0000"))</f>
        <v/>
      </c>
    </row>
    <row r="35" ht="18" customHeight="1">
      <c r="A35" s="8" t="inlineStr">
        <is>
          <t>Voltage L2-N</t>
        </is>
      </c>
      <c r="B35" s="9" t="inlineStr">
        <is>
          <t>R</t>
        </is>
      </c>
      <c r="C35" s="9" t="n">
        <v>184</v>
      </c>
      <c r="D35" s="10" t="inlineStr">
        <is>
          <t>0x00B7</t>
        </is>
      </c>
      <c r="E35" s="9" t="n">
        <v>1</v>
      </c>
      <c r="F35" s="11" t="inlineStr">
        <is>
          <t>Line to Neutral RMS voltage phase B</t>
        </is>
      </c>
      <c r="G35" s="11" t="inlineStr">
        <is>
          <t>1 V / bit</t>
        </is>
      </c>
      <c r="H35" s="9" t="inlineStr">
        <is>
          <t>0 V</t>
        </is>
      </c>
      <c r="I35" s="12" t="inlineStr">
        <is>
          <t>0 to 64255 V</t>
        </is>
      </c>
      <c r="J35" s="13" t="inlineStr">
        <is>
          <t>P5</t>
        </is>
      </c>
      <c r="K35" s="14">
        <f>C35-1</f>
        <v/>
      </c>
      <c r="L35" s="14">
        <f>DEC2HEX(K35)</f>
        <v/>
      </c>
      <c r="M35" s="14">
        <f>CONCAT("0x",TEXT(K35,"0000"))</f>
        <v/>
      </c>
    </row>
    <row r="36" ht="18" customHeight="1">
      <c r="A36" s="8" t="inlineStr">
        <is>
          <t>Voltage L3-N</t>
        </is>
      </c>
      <c r="B36" s="9" t="inlineStr">
        <is>
          <t>R</t>
        </is>
      </c>
      <c r="C36" s="9" t="n">
        <v>185</v>
      </c>
      <c r="D36" s="10" t="inlineStr">
        <is>
          <t>0x00B8</t>
        </is>
      </c>
      <c r="E36" s="9" t="n">
        <v>1</v>
      </c>
      <c r="F36" s="11" t="inlineStr">
        <is>
          <t>Line to Neutral RMS voltage phase C</t>
        </is>
      </c>
      <c r="G36" s="11" t="inlineStr">
        <is>
          <t>1 V / bit</t>
        </is>
      </c>
      <c r="H36" s="9" t="inlineStr">
        <is>
          <t>0 V</t>
        </is>
      </c>
      <c r="I36" s="12" t="inlineStr">
        <is>
          <t>0 to 64255 V</t>
        </is>
      </c>
      <c r="J36" s="13" t="inlineStr">
        <is>
          <t>P5</t>
        </is>
      </c>
      <c r="K36" s="14">
        <f>C36-1</f>
        <v/>
      </c>
      <c r="L36" s="14">
        <f>DEC2HEX(K36)</f>
        <v/>
      </c>
      <c r="M36" s="14">
        <f>CONCAT("0x",TEXT(K36,"0000"))</f>
        <v/>
      </c>
    </row>
    <row r="37" ht="18" customHeight="1">
      <c r="A37" s="8" t="inlineStr">
        <is>
          <t>Current L1</t>
        </is>
      </c>
      <c r="B37" s="9" t="inlineStr">
        <is>
          <t>R</t>
        </is>
      </c>
      <c r="C37" s="9" t="n">
        <v>186</v>
      </c>
      <c r="D37" s="10" t="inlineStr">
        <is>
          <t>0x00B9</t>
        </is>
      </c>
      <c r="E37" s="9" t="n">
        <v>1</v>
      </c>
      <c r="F37" s="11" t="inlineStr">
        <is>
          <t>RMS current phase A</t>
        </is>
      </c>
      <c r="G37" s="11" t="inlineStr">
        <is>
          <t>1 A / bit</t>
        </is>
      </c>
      <c r="H37" s="9" t="inlineStr">
        <is>
          <t>0 A</t>
        </is>
      </c>
      <c r="I37" s="12" t="inlineStr">
        <is>
          <t>0 to 64255 A</t>
        </is>
      </c>
      <c r="J37" s="13" t="inlineStr">
        <is>
          <t>P5</t>
        </is>
      </c>
      <c r="K37" s="14">
        <f>C37-1</f>
        <v/>
      </c>
      <c r="L37" s="14">
        <f>DEC2HEX(K37)</f>
        <v/>
      </c>
      <c r="M37" s="14">
        <f>CONCAT("0x",TEXT(K37,"0000"))</f>
        <v/>
      </c>
    </row>
    <row r="38" ht="18" customHeight="1">
      <c r="A38" s="8" t="inlineStr">
        <is>
          <t>Current L2</t>
        </is>
      </c>
      <c r="B38" s="9" t="inlineStr">
        <is>
          <t>R</t>
        </is>
      </c>
      <c r="C38" s="9" t="n">
        <v>187</v>
      </c>
      <c r="D38" s="10" t="inlineStr">
        <is>
          <t>0x00BA</t>
        </is>
      </c>
      <c r="E38" s="9" t="n">
        <v>1</v>
      </c>
      <c r="F38" s="11" t="inlineStr">
        <is>
          <t>RMS current phase B</t>
        </is>
      </c>
      <c r="G38" s="11" t="inlineStr">
        <is>
          <t>1 A / bit</t>
        </is>
      </c>
      <c r="H38" s="9" t="inlineStr">
        <is>
          <t>0 A</t>
        </is>
      </c>
      <c r="I38" s="12" t="inlineStr">
        <is>
          <t>0 to 64255 A</t>
        </is>
      </c>
      <c r="J38" s="13" t="inlineStr">
        <is>
          <t>P5</t>
        </is>
      </c>
      <c r="K38" s="14">
        <f>C38-1</f>
        <v/>
      </c>
      <c r="L38" s="14">
        <f>DEC2HEX(K38)</f>
        <v/>
      </c>
      <c r="M38" s="14">
        <f>CONCAT("0x",TEXT(K38,"0000"))</f>
        <v/>
      </c>
    </row>
    <row r="39" ht="18" customHeight="1">
      <c r="A39" s="8" t="inlineStr">
        <is>
          <t>Current L3</t>
        </is>
      </c>
      <c r="B39" s="9" t="inlineStr">
        <is>
          <t>R</t>
        </is>
      </c>
      <c r="C39" s="9" t="n">
        <v>188</v>
      </c>
      <c r="D39" s="10" t="inlineStr">
        <is>
          <t>0x00BB</t>
        </is>
      </c>
      <c r="E39" s="9" t="n">
        <v>1</v>
      </c>
      <c r="F39" s="11" t="inlineStr">
        <is>
          <t>RMS current phase C</t>
        </is>
      </c>
      <c r="G39" s="11" t="inlineStr">
        <is>
          <t>1 A / bit</t>
        </is>
      </c>
      <c r="H39" s="9" t="inlineStr">
        <is>
          <t>0 A</t>
        </is>
      </c>
      <c r="I39" s="12" t="inlineStr">
        <is>
          <t>0 to 64255 A</t>
        </is>
      </c>
      <c r="J39" s="13" t="inlineStr">
        <is>
          <t>P5</t>
        </is>
      </c>
      <c r="K39" s="14">
        <f>C39-1</f>
        <v/>
      </c>
      <c r="L39" s="14">
        <f>DEC2HEX(K39)</f>
        <v/>
      </c>
      <c r="M39" s="14">
        <f>CONCAT("0x",TEXT(K39,"0000"))</f>
        <v/>
      </c>
    </row>
    <row r="40" ht="18" customHeight="1">
      <c r="A40" s="8" t="inlineStr">
        <is>
          <t>Power Factor L1</t>
        </is>
      </c>
      <c r="B40" s="9" t="inlineStr">
        <is>
          <t>R</t>
        </is>
      </c>
      <c r="C40" s="9" t="n">
        <v>189</v>
      </c>
      <c r="D40" s="10" t="inlineStr">
        <is>
          <t>0x00BC</t>
        </is>
      </c>
      <c r="E40" s="9" t="n">
        <v>1</v>
      </c>
      <c r="F40" s="11" t="inlineStr">
        <is>
          <t>Power factor phase A</t>
        </is>
      </c>
      <c r="G40" s="11" t="inlineStr">
        <is>
          <t>1/16384 / bit</t>
        </is>
      </c>
      <c r="H40" s="9" t="inlineStr">
        <is>
          <t>-2</t>
        </is>
      </c>
      <c r="I40" s="12" t="inlineStr">
        <is>
          <t>-2.0 to +2.0</t>
        </is>
      </c>
      <c r="J40" s="13" t="inlineStr">
        <is>
          <t>P5</t>
        </is>
      </c>
      <c r="K40" s="14">
        <f>C40-1</f>
        <v/>
      </c>
      <c r="L40" s="14">
        <f>DEC2HEX(K40)</f>
        <v/>
      </c>
      <c r="M40" s="14">
        <f>CONCAT("0x",TEXT(K40,"0000"))</f>
        <v/>
      </c>
    </row>
    <row r="41" ht="18" customHeight="1">
      <c r="A41" s="8" t="inlineStr">
        <is>
          <t>Power Factor L2</t>
        </is>
      </c>
      <c r="B41" s="9" t="inlineStr">
        <is>
          <t>R</t>
        </is>
      </c>
      <c r="C41" s="9" t="n">
        <v>190</v>
      </c>
      <c r="D41" s="10" t="inlineStr">
        <is>
          <t>0x00BD</t>
        </is>
      </c>
      <c r="E41" s="9" t="n">
        <v>1</v>
      </c>
      <c r="F41" s="11" t="inlineStr">
        <is>
          <t>Power factor phase B</t>
        </is>
      </c>
      <c r="G41" s="11" t="inlineStr">
        <is>
          <t>1/16384 / bit</t>
        </is>
      </c>
      <c r="H41" s="9" t="inlineStr">
        <is>
          <t>-2</t>
        </is>
      </c>
      <c r="I41" s="12" t="inlineStr">
        <is>
          <t>-2.0 to +2.0</t>
        </is>
      </c>
      <c r="J41" s="13" t="inlineStr">
        <is>
          <t>P5</t>
        </is>
      </c>
      <c r="K41" s="14">
        <f>C41-1</f>
        <v/>
      </c>
      <c r="L41" s="14">
        <f>DEC2HEX(K41)</f>
        <v/>
      </c>
      <c r="M41" s="14">
        <f>CONCAT("0x",TEXT(K41,"0000"))</f>
        <v/>
      </c>
    </row>
    <row r="42" ht="18" customHeight="1">
      <c r="A42" s="8" t="inlineStr">
        <is>
          <t>Power Factor L3</t>
        </is>
      </c>
      <c r="B42" s="9" t="inlineStr">
        <is>
          <t>R</t>
        </is>
      </c>
      <c r="C42" s="9" t="n">
        <v>191</v>
      </c>
      <c r="D42" s="10" t="inlineStr">
        <is>
          <t>0x00BE</t>
        </is>
      </c>
      <c r="E42" s="9" t="n">
        <v>1</v>
      </c>
      <c r="F42" s="11" t="inlineStr">
        <is>
          <t>Power factor phase C</t>
        </is>
      </c>
      <c r="G42" s="11" t="inlineStr">
        <is>
          <t>1/16384 / bit</t>
        </is>
      </c>
      <c r="H42" s="9" t="inlineStr">
        <is>
          <t>-2</t>
        </is>
      </c>
      <c r="I42" s="12" t="inlineStr">
        <is>
          <t>-2.0 to +2.0</t>
        </is>
      </c>
      <c r="J42" s="13" t="inlineStr">
        <is>
          <t>P5</t>
        </is>
      </c>
      <c r="K42" s="14">
        <f>C42-1</f>
        <v/>
      </c>
      <c r="L42" s="14">
        <f>DEC2HEX(K42)</f>
        <v/>
      </c>
      <c r="M42" s="14">
        <f>CONCAT("0x",TEXT(K42,"0000"))</f>
        <v/>
      </c>
    </row>
    <row r="43" ht="24" customHeight="1">
      <c r="A43" s="17" t="inlineStr">
        <is>
          <t>🔋 BLOCK P6 — Read(202, 5) — Reactive &amp; Apparent Power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 ht="18" customHeight="1">
      <c r="A44" s="8" t="inlineStr">
        <is>
          <t>Generator Total Apparent Power</t>
        </is>
      </c>
      <c r="B44" s="9" t="inlineStr">
        <is>
          <t>R</t>
        </is>
      </c>
      <c r="C44" s="9" t="n">
        <v>202</v>
      </c>
      <c r="D44" s="10" t="inlineStr">
        <is>
          <t>0x00C9</t>
        </is>
      </c>
      <c r="E44" s="9" t="n">
        <v>2</v>
      </c>
      <c r="F44" s="11" t="inlineStr">
        <is>
          <t>Total apparent power (kVA) delivered by the generator</t>
        </is>
      </c>
      <c r="G44" s="11" t="inlineStr">
        <is>
          <t>1 VA / bit</t>
        </is>
      </c>
      <c r="H44" s="9" t="inlineStr">
        <is>
          <t>0 VA</t>
        </is>
      </c>
      <c r="I44" s="12" t="inlineStr">
        <is>
          <t>0 to 4,294,967,295 VA</t>
        </is>
      </c>
      <c r="J44" s="13" t="inlineStr">
        <is>
          <t>P6</t>
        </is>
      </c>
      <c r="K44" s="14">
        <f>C44-1</f>
        <v/>
      </c>
      <c r="L44" s="14">
        <f>DEC2HEX(K44)</f>
        <v/>
      </c>
      <c r="M44" s="14">
        <f>CONCAT("0x",TEXT(K44,"0000"))</f>
        <v/>
      </c>
    </row>
    <row r="45" ht="18" customHeight="1">
      <c r="A45" s="19" t="inlineStr">
        <is>
          <t xml:space="preserve">  ↳ Generator Total Apparent Power (LSW)</t>
        </is>
      </c>
      <c r="B45" s="20" t="n"/>
      <c r="C45" s="21" t="n">
        <v>203</v>
      </c>
      <c r="D45" s="22" t="inlineStr">
        <is>
          <t>0x00CA</t>
        </is>
      </c>
      <c r="E45" s="20" t="n"/>
      <c r="F45" s="19" t="inlineStr">
        <is>
          <t>Low word — combine: value = (MSW &lt;&lt; 16) | LSW, then apply scaling + offset</t>
        </is>
      </c>
      <c r="G45" s="20" t="n"/>
      <c r="H45" s="20" t="n"/>
      <c r="I45" s="20" t="n"/>
      <c r="J45" s="23" t="inlineStr">
        <is>
          <t>P6</t>
        </is>
      </c>
      <c r="K45" s="20" t="n"/>
      <c r="L45" s="20" t="n"/>
      <c r="M45" s="20" t="n"/>
    </row>
    <row r="46" ht="18" customHeight="1">
      <c r="A46" s="8" t="inlineStr">
        <is>
          <t>Generator Total Reactive Power</t>
        </is>
      </c>
      <c r="B46" s="9" t="inlineStr">
        <is>
          <t>R</t>
        </is>
      </c>
      <c r="C46" s="9" t="n">
        <v>205</v>
      </c>
      <c r="D46" s="10" t="inlineStr">
        <is>
          <t>0x00CC</t>
        </is>
      </c>
      <c r="E46" s="9" t="n">
        <v>2</v>
      </c>
      <c r="F46" s="11" t="inlineStr">
        <is>
          <t>Total reactive power (kVAR) delivered by the generator</t>
        </is>
      </c>
      <c r="G46" s="11" t="inlineStr">
        <is>
          <t>1 VAr / bit</t>
        </is>
      </c>
      <c r="H46" s="9" t="inlineStr">
        <is>
          <t>-2000000000 VAr</t>
        </is>
      </c>
      <c r="I46" s="12" t="inlineStr">
        <is>
          <t>-2B to +2.21B VAr</t>
        </is>
      </c>
      <c r="J46" s="13" t="inlineStr">
        <is>
          <t>P6</t>
        </is>
      </c>
      <c r="K46" s="14">
        <f>C46-1</f>
        <v/>
      </c>
      <c r="L46" s="14">
        <f>DEC2HEX(K46)</f>
        <v/>
      </c>
      <c r="M46" s="14">
        <f>CONCAT("0x",TEXT(K46,"0000"))</f>
        <v/>
      </c>
    </row>
    <row r="47" ht="18" customHeight="1">
      <c r="A47" s="19" t="inlineStr">
        <is>
          <t xml:space="preserve">  ↳ Generator Total Reactive Power (LSW)</t>
        </is>
      </c>
      <c r="B47" s="20" t="n"/>
      <c r="C47" s="21" t="n">
        <v>206</v>
      </c>
      <c r="D47" s="22" t="inlineStr">
        <is>
          <t>0x00CD</t>
        </is>
      </c>
      <c r="E47" s="20" t="n"/>
      <c r="F47" s="19" t="inlineStr">
        <is>
          <t>Low word — combine: value = (MSW &lt;&lt; 16) | LSW, then apply scaling + offset</t>
        </is>
      </c>
      <c r="G47" s="20" t="n"/>
      <c r="H47" s="20" t="n"/>
      <c r="I47" s="20" t="n"/>
      <c r="J47" s="23" t="inlineStr">
        <is>
          <t>P6</t>
        </is>
      </c>
      <c r="K47" s="20" t="n"/>
      <c r="L47" s="20" t="n"/>
      <c r="M47" s="20" t="n"/>
    </row>
    <row r="48" ht="24" customHeight="1">
      <c r="A48" s="24" t="inlineStr">
        <is>
          <t>🔀 BLOCK P7 — Read(228, 5) — Operating State &amp; Breaker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</row>
    <row r="49" ht="60" customHeight="1">
      <c r="A49" s="8" t="inlineStr">
        <is>
          <t>Genset Available Status</t>
        </is>
      </c>
      <c r="B49" s="9" t="inlineStr">
        <is>
          <t>R</t>
        </is>
      </c>
      <c r="C49" s="9" t="n">
        <v>228</v>
      </c>
      <c r="D49" s="10" t="inlineStr">
        <is>
          <t>0x00E3</t>
        </is>
      </c>
      <c r="E49" s="9" t="n">
        <v>1</v>
      </c>
      <c r="F49" s="11" t="inlineStr">
        <is>
          <t>Whether the genset is available to the paralleling system</t>
        </is>
      </c>
      <c r="G49" s="11" t="inlineStr">
        <is>
          <t>0 = Not Available
1 = Available
2 = Error
3 = Disabled Or Not Available</t>
        </is>
      </c>
      <c r="H49" s="9" t="inlineStr"/>
      <c r="I49" s="12" t="inlineStr">
        <is>
          <t>0–3</t>
        </is>
      </c>
      <c r="J49" s="13" t="inlineStr">
        <is>
          <t>P7</t>
        </is>
      </c>
      <c r="K49" s="14">
        <f>C49-1</f>
        <v/>
      </c>
      <c r="L49" s="14">
        <f>DEC2HEX(K49)</f>
        <v/>
      </c>
      <c r="M49" s="14">
        <f>CONCAT("0x",TEXT(K49,"0000"))</f>
        <v/>
      </c>
    </row>
    <row r="50" ht="60" customHeight="1">
      <c r="A50" s="8" t="inlineStr">
        <is>
          <t>Generator Circuit Breaker Status</t>
        </is>
      </c>
      <c r="B50" s="9" t="inlineStr">
        <is>
          <t>R</t>
        </is>
      </c>
      <c r="C50" s="9" t="n">
        <v>229</v>
      </c>
      <c r="D50" s="10" t="inlineStr">
        <is>
          <t>0x00E4</t>
        </is>
      </c>
      <c r="E50" s="9" t="n">
        <v>1</v>
      </c>
      <c r="F50" s="11" t="inlineStr">
        <is>
          <t>Status of the generator circuit breaker</t>
        </is>
      </c>
      <c r="G50" s="11" t="inlineStr">
        <is>
          <t>0 = Open
1 = Closed
2 = Error
3 = Disabled Or Not Available</t>
        </is>
      </c>
      <c r="H50" s="9" t="inlineStr"/>
      <c r="I50" s="12" t="inlineStr">
        <is>
          <t>0–3</t>
        </is>
      </c>
      <c r="J50" s="13" t="inlineStr">
        <is>
          <t>P7</t>
        </is>
      </c>
      <c r="K50" s="14">
        <f>C50-1</f>
        <v/>
      </c>
      <c r="L50" s="14">
        <f>DEC2HEX(K50)</f>
        <v/>
      </c>
      <c r="M50" s="14">
        <f>CONCAT("0x",TEXT(K50,"0000"))</f>
        <v/>
      </c>
    </row>
    <row r="51" ht="60" customHeight="1">
      <c r="A51" s="8" t="inlineStr">
        <is>
          <t>Operating Mode</t>
        </is>
      </c>
      <c r="B51" s="9" t="inlineStr">
        <is>
          <t>R</t>
        </is>
      </c>
      <c r="C51" s="9" t="n">
        <v>230</v>
      </c>
      <c r="D51" s="10" t="inlineStr">
        <is>
          <t>0x00E5</t>
        </is>
      </c>
      <c r="E51" s="9" t="n">
        <v>1</v>
      </c>
      <c r="F51" s="11" t="inlineStr">
        <is>
          <t>Current operating mode of the genset controller</t>
        </is>
      </c>
      <c r="G51" s="11" t="inlineStr">
        <is>
          <t>0 = Off
1 = Manual
2 = Auto
3 = Test</t>
        </is>
      </c>
      <c r="H51" s="9" t="inlineStr"/>
      <c r="I51" s="12" t="inlineStr">
        <is>
          <t>0–3</t>
        </is>
      </c>
      <c r="J51" s="13" t="inlineStr">
        <is>
          <t>P7</t>
        </is>
      </c>
      <c r="K51" s="14">
        <f>C51-1</f>
        <v/>
      </c>
      <c r="L51" s="14">
        <f>DEC2HEX(K51)</f>
        <v/>
      </c>
      <c r="M51" s="14">
        <f>CONCAT("0x",TEXT(K51,"0000"))</f>
        <v/>
      </c>
    </row>
    <row r="52" ht="80" customHeight="1">
      <c r="A52" s="8" t="inlineStr">
        <is>
          <t>Genset Auto Start State</t>
        </is>
      </c>
      <c r="B52" s="9" t="inlineStr">
        <is>
          <t>R</t>
        </is>
      </c>
      <c r="C52" s="9" t="n">
        <v>231</v>
      </c>
      <c r="D52" s="10" t="inlineStr">
        <is>
          <t>0x00E6</t>
        </is>
      </c>
      <c r="E52" s="9" t="n">
        <v>1</v>
      </c>
      <c r="F52" s="11" t="inlineStr">
        <is>
          <t>Current state of the automatic start/stop sequence</t>
        </is>
      </c>
      <c r="G52" s="11" t="inlineStr">
        <is>
          <t>0 = Init
1 = Pre Crank
2 = Starting
3 = Running
4 = Pre Cooldown
5 = Cooldown
6 = Stopping
7 = Stopped
8 = Idling</t>
        </is>
      </c>
      <c r="H52" s="9" t="inlineStr"/>
      <c r="I52" s="12" t="inlineStr">
        <is>
          <t>0–8</t>
        </is>
      </c>
      <c r="J52" s="13" t="inlineStr">
        <is>
          <t>P7</t>
        </is>
      </c>
      <c r="K52" s="14">
        <f>C52-1</f>
        <v/>
      </c>
      <c r="L52" s="14">
        <f>DEC2HEX(K52)</f>
        <v/>
      </c>
      <c r="M52" s="14">
        <f>CONCAT("0x",TEXT(K52,"0000"))</f>
        <v/>
      </c>
    </row>
    <row r="53" ht="60" customHeight="1">
      <c r="A53" s="8" t="inlineStr">
        <is>
          <t>Engine Run Status</t>
        </is>
      </c>
      <c r="B53" s="9" t="inlineStr">
        <is>
          <t>R</t>
        </is>
      </c>
      <c r="C53" s="9" t="n">
        <v>232</v>
      </c>
      <c r="D53" s="10" t="inlineStr">
        <is>
          <t>0x00E7</t>
        </is>
      </c>
      <c r="E53" s="9" t="n">
        <v>1</v>
      </c>
      <c r="F53" s="11" t="inlineStr">
        <is>
          <t>Whether the engine is currently running</t>
        </is>
      </c>
      <c r="G53" s="11" t="inlineStr">
        <is>
          <t>0 = Off
1 = Running
2 = Error
3 = Disabled Or Not Available</t>
        </is>
      </c>
      <c r="H53" s="9" t="inlineStr"/>
      <c r="I53" s="12" t="inlineStr">
        <is>
          <t>0–3</t>
        </is>
      </c>
      <c r="J53" s="13" t="inlineStr">
        <is>
          <t>P7</t>
        </is>
      </c>
      <c r="K53" s="14">
        <f>C53-1</f>
        <v/>
      </c>
      <c r="L53" s="14">
        <f>DEC2HEX(K53)</f>
        <v/>
      </c>
      <c r="M53" s="14">
        <f>CONCAT("0x",TEXT(K53,"0000"))</f>
        <v/>
      </c>
    </row>
    <row r="54" ht="24" customHeight="1">
      <c r="A54" s="24" t="inlineStr">
        <is>
          <t>🔀 BLOCK P8 — Read(730, 9) — DBA &amp; Sync Mode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</row>
    <row r="55" ht="18" customHeight="1">
      <c r="A55" s="8" t="inlineStr">
        <is>
          <t>Dead Bus Arbitration (DBA) State</t>
        </is>
      </c>
      <c r="B55" s="9" t="inlineStr">
        <is>
          <t>R</t>
        </is>
      </c>
      <c r="C55" s="9" t="n">
        <v>730</v>
      </c>
      <c r="D55" s="10" t="inlineStr">
        <is>
          <t>0x02D9</t>
        </is>
      </c>
      <c r="E55" s="9" t="n">
        <v>1</v>
      </c>
      <c r="F55" s="11" t="inlineStr">
        <is>
          <t>Current state of dead bus arbitration logic</t>
        </is>
      </c>
      <c r="G55" s="11" t="inlineStr">
        <is>
          <t>Enumerated — see SCADA manual §7.0</t>
        </is>
      </c>
      <c r="H55" s="9" t="inlineStr"/>
      <c r="I55" s="12" t="inlineStr">
        <is>
          <t>Enumerated</t>
        </is>
      </c>
      <c r="J55" s="13" t="inlineStr">
        <is>
          <t>P8</t>
        </is>
      </c>
      <c r="K55" s="14">
        <f>C55-1</f>
        <v/>
      </c>
      <c r="L55" s="14">
        <f>DEC2HEX(K55)</f>
        <v/>
      </c>
      <c r="M55" s="14">
        <f>CONCAT("0x",TEXT(K55,"0000"))</f>
        <v/>
      </c>
    </row>
    <row r="56" ht="18" customHeight="1">
      <c r="A56" s="8" t="inlineStr">
        <is>
          <t>DBA Last Fail Reason</t>
        </is>
      </c>
      <c r="B56" s="9" t="inlineStr">
        <is>
          <t>R</t>
        </is>
      </c>
      <c r="C56" s="9" t="n">
        <v>731</v>
      </c>
      <c r="D56" s="10" t="inlineStr">
        <is>
          <t>0x02DA</t>
        </is>
      </c>
      <c r="E56" s="9" t="n">
        <v>1</v>
      </c>
      <c r="F56" s="11" t="inlineStr">
        <is>
          <t>Reason for last DBA failure</t>
        </is>
      </c>
      <c r="G56" s="11" t="inlineStr">
        <is>
          <t>Enumerated failure codes</t>
        </is>
      </c>
      <c r="H56" s="9" t="inlineStr"/>
      <c r="I56" s="12" t="inlineStr">
        <is>
          <t>Enumerated</t>
        </is>
      </c>
      <c r="J56" s="13" t="inlineStr">
        <is>
          <t>P8</t>
        </is>
      </c>
      <c r="K56" s="14">
        <f>C56-1</f>
        <v/>
      </c>
      <c r="L56" s="14">
        <f>DEC2HEX(K56)</f>
        <v/>
      </c>
      <c r="M56" s="14">
        <f>CONCAT("0x",TEXT(K56,"0000"))</f>
        <v/>
      </c>
    </row>
    <row r="57" ht="18" customHeight="1">
      <c r="A57" s="8" t="inlineStr">
        <is>
          <t>Synchronize Mode / State</t>
        </is>
      </c>
      <c r="B57" s="9" t="inlineStr">
        <is>
          <t>R</t>
        </is>
      </c>
      <c r="C57" s="9" t="n">
        <v>738</v>
      </c>
      <c r="D57" s="10" t="inlineStr">
        <is>
          <t>0x02E1</t>
        </is>
      </c>
      <c r="E57" s="9" t="n">
        <v>1</v>
      </c>
      <c r="F57" s="11" t="inlineStr">
        <is>
          <t>Current sync mode and state for paralleling</t>
        </is>
      </c>
      <c r="G57" s="11" t="inlineStr">
        <is>
          <t>Enumerated — see SCADA manual §7.0</t>
        </is>
      </c>
      <c r="H57" s="9" t="inlineStr"/>
      <c r="I57" s="12" t="inlineStr">
        <is>
          <t>Enumerated</t>
        </is>
      </c>
      <c r="J57" s="13" t="inlineStr">
        <is>
          <t>P8</t>
        </is>
      </c>
      <c r="K57" s="14">
        <f>C57-1</f>
        <v/>
      </c>
      <c r="L57" s="14">
        <f>DEC2HEX(K57)</f>
        <v/>
      </c>
      <c r="M57" s="14">
        <f>CONCAT("0x",TEXT(K57,"0000"))</f>
        <v/>
      </c>
    </row>
    <row r="58" ht="24" customHeight="1">
      <c r="A58" s="24" t="inlineStr">
        <is>
          <t>🔗 BLOCK P9 — Read(750, 31+) — System Totals &amp; Per-Unit Data</t>
        </is>
      </c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</row>
    <row r="59" ht="18" customHeight="1">
      <c r="A59" s="8" t="inlineStr">
        <is>
          <t>Number of Units Online</t>
        </is>
      </c>
      <c r="B59" s="9" t="inlineStr">
        <is>
          <t>R</t>
        </is>
      </c>
      <c r="C59" s="9" t="n">
        <v>750</v>
      </c>
      <c r="D59" s="10" t="inlineStr">
        <is>
          <t>0x02ED</t>
        </is>
      </c>
      <c r="E59" s="9" t="n">
        <v>1</v>
      </c>
      <c r="F59" s="11" t="inlineStr">
        <is>
          <t>Total number of gensets currently online</t>
        </is>
      </c>
      <c r="G59" s="11" t="inlineStr">
        <is>
          <t>1 / bit</t>
        </is>
      </c>
      <c r="H59" s="9" t="inlineStr">
        <is>
          <t>0</t>
        </is>
      </c>
      <c r="I59" s="12" t="inlineStr">
        <is>
          <t>0 to 32</t>
        </is>
      </c>
      <c r="J59" s="13" t="inlineStr">
        <is>
          <t>P9</t>
        </is>
      </c>
      <c r="K59" s="14">
        <f>C59-1</f>
        <v/>
      </c>
      <c r="L59" s="14">
        <f>DEC2HEX(K59)</f>
        <v/>
      </c>
      <c r="M59" s="14">
        <f>CONCAT("0x",TEXT(K59,"0000"))</f>
        <v/>
      </c>
    </row>
    <row r="60" ht="18" customHeight="1">
      <c r="A60" s="8" t="inlineStr">
        <is>
          <t>Number of Units Available</t>
        </is>
      </c>
      <c r="B60" s="9" t="inlineStr">
        <is>
          <t>R</t>
        </is>
      </c>
      <c r="C60" s="9" t="n">
        <v>751</v>
      </c>
      <c r="D60" s="10" t="inlineStr">
        <is>
          <t>0x02EE</t>
        </is>
      </c>
      <c r="E60" s="9" t="n">
        <v>1</v>
      </c>
      <c r="F60" s="11" t="inlineStr">
        <is>
          <t>Total number of gensets available</t>
        </is>
      </c>
      <c r="G60" s="11" t="inlineStr">
        <is>
          <t>1 / bit</t>
        </is>
      </c>
      <c r="H60" s="9" t="inlineStr">
        <is>
          <t>0</t>
        </is>
      </c>
      <c r="I60" s="12" t="inlineStr">
        <is>
          <t>0 to 32</t>
        </is>
      </c>
      <c r="J60" s="13" t="inlineStr">
        <is>
          <t>P9</t>
        </is>
      </c>
      <c r="K60" s="14">
        <f>C60-1</f>
        <v/>
      </c>
      <c r="L60" s="14">
        <f>DEC2HEX(K60)</f>
        <v/>
      </c>
      <c r="M60" s="14">
        <f>CONCAT("0x",TEXT(K60,"0000"))</f>
        <v/>
      </c>
    </row>
    <row r="61" ht="18" customHeight="1">
      <c r="A61" s="8" t="inlineStr">
        <is>
          <t>Number of EPS Units Online</t>
        </is>
      </c>
      <c r="B61" s="9" t="inlineStr">
        <is>
          <t>R</t>
        </is>
      </c>
      <c r="C61" s="9" t="n">
        <v>752</v>
      </c>
      <c r="D61" s="10" t="inlineStr">
        <is>
          <t>0x02EF</t>
        </is>
      </c>
      <c r="E61" s="9" t="n">
        <v>1</v>
      </c>
      <c r="F61" s="11" t="inlineStr">
        <is>
          <t>Emergency Power Supply units online</t>
        </is>
      </c>
      <c r="G61" s="11" t="inlineStr">
        <is>
          <t>1 / bit</t>
        </is>
      </c>
      <c r="H61" s="9" t="inlineStr">
        <is>
          <t>0</t>
        </is>
      </c>
      <c r="I61" s="12" t="inlineStr">
        <is>
          <t>0 to 32</t>
        </is>
      </c>
      <c r="J61" s="13" t="inlineStr">
        <is>
          <t>P9</t>
        </is>
      </c>
      <c r="K61" s="14">
        <f>C61-1</f>
        <v/>
      </c>
      <c r="L61" s="14">
        <f>DEC2HEX(K61)</f>
        <v/>
      </c>
      <c r="M61" s="14">
        <f>CONCAT("0x",TEXT(K61,"0000"))</f>
        <v/>
      </c>
    </row>
    <row r="62" ht="18" customHeight="1">
      <c r="A62" s="8" t="inlineStr">
        <is>
          <t>Number of EPS Units Available</t>
        </is>
      </c>
      <c r="B62" s="9" t="inlineStr">
        <is>
          <t>R</t>
        </is>
      </c>
      <c r="C62" s="9" t="n">
        <v>753</v>
      </c>
      <c r="D62" s="10" t="inlineStr">
        <is>
          <t>0x02F0</t>
        </is>
      </c>
      <c r="E62" s="9" t="n">
        <v>1</v>
      </c>
      <c r="F62" s="11" t="inlineStr">
        <is>
          <t>Emergency Power Supply units available</t>
        </is>
      </c>
      <c r="G62" s="11" t="inlineStr">
        <is>
          <t>1 / bit</t>
        </is>
      </c>
      <c r="H62" s="9" t="inlineStr">
        <is>
          <t>0</t>
        </is>
      </c>
      <c r="I62" s="12" t="inlineStr">
        <is>
          <t>0 to 32</t>
        </is>
      </c>
      <c r="J62" s="13" t="inlineStr">
        <is>
          <t>P9</t>
        </is>
      </c>
      <c r="K62" s="14">
        <f>C62-1</f>
        <v/>
      </c>
      <c r="L62" s="14">
        <f>DEC2HEX(K62)</f>
        <v/>
      </c>
      <c r="M62" s="14">
        <f>CONCAT("0x",TEXT(K62,"0000"))</f>
        <v/>
      </c>
    </row>
    <row r="63" ht="18" customHeight="1">
      <c r="A63" s="8" t="inlineStr">
        <is>
          <t>System Total Real Power</t>
        </is>
      </c>
      <c r="B63" s="9" t="inlineStr">
        <is>
          <t>R</t>
        </is>
      </c>
      <c r="C63" s="9" t="n">
        <v>756</v>
      </c>
      <c r="D63" s="10" t="inlineStr">
        <is>
          <t>0x02F3</t>
        </is>
      </c>
      <c r="E63" s="9" t="n">
        <v>2</v>
      </c>
      <c r="F63" s="11" t="inlineStr">
        <is>
          <t>Combined real power from all online gensets</t>
        </is>
      </c>
      <c r="G63" s="11" t="inlineStr">
        <is>
          <t>1 W / bit</t>
        </is>
      </c>
      <c r="H63" s="9" t="inlineStr">
        <is>
          <t>-2000000000 W</t>
        </is>
      </c>
      <c r="I63" s="12" t="inlineStr">
        <is>
          <t>-2B to +2.21B W</t>
        </is>
      </c>
      <c r="J63" s="13" t="inlineStr">
        <is>
          <t>P9</t>
        </is>
      </c>
      <c r="K63" s="14">
        <f>C63-1</f>
        <v/>
      </c>
      <c r="L63" s="14">
        <f>DEC2HEX(K63)</f>
        <v/>
      </c>
      <c r="M63" s="14">
        <f>CONCAT("0x",TEXT(K63,"0000"))</f>
        <v/>
      </c>
    </row>
    <row r="64" ht="18" customHeight="1">
      <c r="A64" s="19" t="inlineStr">
        <is>
          <t xml:space="preserve">  ↳ System Total Real Power (LSW)</t>
        </is>
      </c>
      <c r="B64" s="20" t="n"/>
      <c r="C64" s="21" t="n">
        <v>757</v>
      </c>
      <c r="D64" s="22" t="inlineStr">
        <is>
          <t>0x02F4</t>
        </is>
      </c>
      <c r="E64" s="20" t="n"/>
      <c r="F64" s="19" t="inlineStr">
        <is>
          <t>Low word — combine: value = (MSW &lt;&lt; 16) | LSW, then apply scaling + offset</t>
        </is>
      </c>
      <c r="G64" s="20" t="n"/>
      <c r="H64" s="20" t="n"/>
      <c r="I64" s="20" t="n"/>
      <c r="J64" s="23" t="inlineStr">
        <is>
          <t>P9</t>
        </is>
      </c>
      <c r="K64" s="20" t="n"/>
      <c r="L64" s="20" t="n"/>
      <c r="M64" s="20" t="n"/>
    </row>
    <row r="65" ht="18" customHeight="1">
      <c r="A65" s="8" t="inlineStr">
        <is>
          <t>System Total Percent Load</t>
        </is>
      </c>
      <c r="B65" s="9" t="inlineStr">
        <is>
          <t>R</t>
        </is>
      </c>
      <c r="C65" s="9" t="n">
        <v>758</v>
      </c>
      <c r="D65" s="10" t="inlineStr">
        <is>
          <t>0x02F5</t>
        </is>
      </c>
      <c r="E65" s="9" t="n">
        <v>1</v>
      </c>
      <c r="F65" s="11" t="inlineStr">
        <is>
          <t>System-wide percent of rated load</t>
        </is>
      </c>
      <c r="G65" s="11" t="inlineStr">
        <is>
          <t>0.4 % / bit</t>
        </is>
      </c>
      <c r="H65" s="9" t="inlineStr">
        <is>
          <t>0 %</t>
        </is>
      </c>
      <c r="I65" s="12" t="inlineStr">
        <is>
          <t>0 to 100 %</t>
        </is>
      </c>
      <c r="J65" s="13" t="inlineStr">
        <is>
          <t>P9</t>
        </is>
      </c>
      <c r="K65" s="14">
        <f>C65-1</f>
        <v/>
      </c>
      <c r="L65" s="14">
        <f>DEC2HEX(K65)</f>
        <v/>
      </c>
      <c r="M65" s="14">
        <f>CONCAT("0x",TEXT(K65,"0000"))</f>
        <v/>
      </c>
    </row>
    <row r="66" ht="18" customHeight="1">
      <c r="A66" s="8" t="inlineStr">
        <is>
          <t>Gen #1 — Warning Status</t>
        </is>
      </c>
      <c r="B66" s="9" t="inlineStr">
        <is>
          <t>R</t>
        </is>
      </c>
      <c r="C66" s="9" t="n">
        <v>759</v>
      </c>
      <c r="D66" s="10" t="inlineStr">
        <is>
          <t>0x02F6</t>
        </is>
      </c>
      <c r="E66" s="9" t="n">
        <v>1</v>
      </c>
      <c r="F66" s="11" t="inlineStr">
        <is>
          <t>Gen #1 has active warning</t>
        </is>
      </c>
      <c r="G66" s="11" t="inlineStr">
        <is>
          <t>0 = False, 1 = True</t>
        </is>
      </c>
      <c r="H66" s="9" t="inlineStr"/>
      <c r="I66" s="12" t="inlineStr">
        <is>
          <t>0–1</t>
        </is>
      </c>
      <c r="J66" s="13" t="inlineStr">
        <is>
          <t>P9</t>
        </is>
      </c>
      <c r="K66" s="14">
        <f>C66-1</f>
        <v/>
      </c>
      <c r="L66" s="14">
        <f>DEC2HEX(K66)</f>
        <v/>
      </c>
      <c r="M66" s="14">
        <f>CONCAT("0x",TEXT(K66,"0000"))</f>
        <v/>
      </c>
    </row>
    <row r="67" ht="18" customHeight="1">
      <c r="A67" s="8" t="inlineStr">
        <is>
          <t>Gen #1 — Shutdown Status</t>
        </is>
      </c>
      <c r="B67" s="9" t="inlineStr">
        <is>
          <t>R</t>
        </is>
      </c>
      <c r="C67" s="9" t="n">
        <v>760</v>
      </c>
      <c r="D67" s="10" t="inlineStr">
        <is>
          <t>0x02F7</t>
        </is>
      </c>
      <c r="E67" s="9" t="n">
        <v>1</v>
      </c>
      <c r="F67" s="11" t="inlineStr">
        <is>
          <t>Gen #1 has active shutdown</t>
        </is>
      </c>
      <c r="G67" s="11" t="inlineStr">
        <is>
          <t>0 = False, 1 = True</t>
        </is>
      </c>
      <c r="H67" s="9" t="inlineStr"/>
      <c r="I67" s="12" t="inlineStr">
        <is>
          <t>0–1</t>
        </is>
      </c>
      <c r="J67" s="13" t="inlineStr">
        <is>
          <t>P9</t>
        </is>
      </c>
      <c r="K67" s="14">
        <f>C67-1</f>
        <v/>
      </c>
      <c r="L67" s="14">
        <f>DEC2HEX(K67)</f>
        <v/>
      </c>
      <c r="M67" s="14">
        <f>CONCAT("0x",TEXT(K67,"0000"))</f>
        <v/>
      </c>
    </row>
    <row r="68" ht="18" customHeight="1">
      <c r="A68" s="8" t="inlineStr">
        <is>
          <t>Gen #1 — DBA Status</t>
        </is>
      </c>
      <c r="B68" s="9" t="inlineStr">
        <is>
          <t>R</t>
        </is>
      </c>
      <c r="C68" s="9" t="n">
        <v>761</v>
      </c>
      <c r="D68" s="10" t="inlineStr">
        <is>
          <t>0x02F8</t>
        </is>
      </c>
      <c r="E68" s="9" t="n">
        <v>1</v>
      </c>
      <c r="F68" s="11" t="inlineStr">
        <is>
          <t>Gen #1 dead bus arbitration status</t>
        </is>
      </c>
      <c r="G68" s="11" t="inlineStr">
        <is>
          <t>Enumerated DBA states</t>
        </is>
      </c>
      <c r="H68" s="9" t="inlineStr"/>
      <c r="I68" s="12" t="inlineStr">
        <is>
          <t>Enumerated</t>
        </is>
      </c>
      <c r="J68" s="13" t="inlineStr">
        <is>
          <t>P9</t>
        </is>
      </c>
      <c r="K68" s="14">
        <f>C68-1</f>
        <v/>
      </c>
      <c r="L68" s="14">
        <f>DEC2HEX(K68)</f>
        <v/>
      </c>
      <c r="M68" s="14">
        <f>CONCAT("0x",TEXT(K68,"0000"))</f>
        <v/>
      </c>
    </row>
    <row r="69" ht="18" customHeight="1">
      <c r="A69" s="8" t="inlineStr">
        <is>
          <t>Gen #1 — Load Share Status</t>
        </is>
      </c>
      <c r="B69" s="9" t="inlineStr">
        <is>
          <t>R</t>
        </is>
      </c>
      <c r="C69" s="9" t="n">
        <v>762</v>
      </c>
      <c r="D69" s="10" t="inlineStr">
        <is>
          <t>0x02F9</t>
        </is>
      </c>
      <c r="E69" s="9" t="n">
        <v>1</v>
      </c>
      <c r="F69" s="11" t="inlineStr">
        <is>
          <t>Gen #1 load share state</t>
        </is>
      </c>
      <c r="G69" s="11" t="inlineStr">
        <is>
          <t>Enumerated load share states</t>
        </is>
      </c>
      <c r="H69" s="9" t="inlineStr"/>
      <c r="I69" s="12" t="inlineStr">
        <is>
          <t>Enumerated</t>
        </is>
      </c>
      <c r="J69" s="13" t="inlineStr">
        <is>
          <t>P9</t>
        </is>
      </c>
      <c r="K69" s="14">
        <f>C69-1</f>
        <v/>
      </c>
      <c r="L69" s="14">
        <f>DEC2HEX(K69)</f>
        <v/>
      </c>
      <c r="M69" s="14">
        <f>CONCAT("0x",TEXT(K69,"0000"))</f>
        <v/>
      </c>
    </row>
    <row r="70" ht="18" customHeight="1">
      <c r="A70" s="8" t="inlineStr">
        <is>
          <t>Gen #1 — Average Voltage</t>
        </is>
      </c>
      <c r="B70" s="9" t="inlineStr">
        <is>
          <t>R</t>
        </is>
      </c>
      <c r="C70" s="9" t="n">
        <v>763</v>
      </c>
      <c r="D70" s="10" t="inlineStr">
        <is>
          <t>0x02FA</t>
        </is>
      </c>
      <c r="E70" s="9" t="n">
        <v>1</v>
      </c>
      <c r="F70" s="11" t="inlineStr">
        <is>
          <t>Gen #1 average line-line voltage</t>
        </is>
      </c>
      <c r="G70" s="11" t="inlineStr">
        <is>
          <t>1 V / bit</t>
        </is>
      </c>
      <c r="H70" s="9" t="inlineStr">
        <is>
          <t>0 V</t>
        </is>
      </c>
      <c r="I70" s="12" t="inlineStr">
        <is>
          <t>0 to 64255 V</t>
        </is>
      </c>
      <c r="J70" s="13" t="inlineStr">
        <is>
          <t>P9</t>
        </is>
      </c>
      <c r="K70" s="14">
        <f>C70-1</f>
        <v/>
      </c>
      <c r="L70" s="14">
        <f>DEC2HEX(K70)</f>
        <v/>
      </c>
      <c r="M70" s="14">
        <f>CONCAT("0x",TEXT(K70,"0000"))</f>
        <v/>
      </c>
    </row>
    <row r="71" ht="18" customHeight="1">
      <c r="A71" s="8" t="inlineStr">
        <is>
          <t>Gen #1 — Frequency</t>
        </is>
      </c>
      <c r="B71" s="9" t="inlineStr">
        <is>
          <t>R</t>
        </is>
      </c>
      <c r="C71" s="9" t="n">
        <v>764</v>
      </c>
      <c r="D71" s="10" t="inlineStr">
        <is>
          <t>0x02FB</t>
        </is>
      </c>
      <c r="E71" s="9" t="n">
        <v>1</v>
      </c>
      <c r="F71" s="11" t="inlineStr">
        <is>
          <t>Gen #1 AC frequency</t>
        </is>
      </c>
      <c r="G71" s="11" t="inlineStr">
        <is>
          <t>1/128 Hz / bit</t>
        </is>
      </c>
      <c r="H71" s="9" t="inlineStr">
        <is>
          <t>0 Hz</t>
        </is>
      </c>
      <c r="I71" s="12" t="inlineStr">
        <is>
          <t>0 to 501.99 Hz</t>
        </is>
      </c>
      <c r="J71" s="13" t="inlineStr">
        <is>
          <t>P9</t>
        </is>
      </c>
      <c r="K71" s="14">
        <f>C71-1</f>
        <v/>
      </c>
      <c r="L71" s="14">
        <f>DEC2HEX(K71)</f>
        <v/>
      </c>
      <c r="M71" s="14">
        <f>CONCAT("0x",TEXT(K71,"0000"))</f>
        <v/>
      </c>
    </row>
    <row r="72" ht="18" customHeight="1">
      <c r="A72" s="8" t="inlineStr">
        <is>
          <t>Gen #1 — Real Power</t>
        </is>
      </c>
      <c r="B72" s="9" t="inlineStr">
        <is>
          <t>R</t>
        </is>
      </c>
      <c r="C72" s="9" t="n">
        <v>765</v>
      </c>
      <c r="D72" s="10" t="inlineStr">
        <is>
          <t>0x02FC</t>
        </is>
      </c>
      <c r="E72" s="9" t="n">
        <v>2</v>
      </c>
      <c r="F72" s="11" t="inlineStr">
        <is>
          <t>Gen #1 real power output</t>
        </is>
      </c>
      <c r="G72" s="11" t="inlineStr">
        <is>
          <t>1 W / bit</t>
        </is>
      </c>
      <c r="H72" s="9" t="inlineStr">
        <is>
          <t>-2000000000 W</t>
        </is>
      </c>
      <c r="I72" s="12" t="inlineStr">
        <is>
          <t>-2B to +2.21B W</t>
        </is>
      </c>
      <c r="J72" s="13" t="inlineStr">
        <is>
          <t>P9</t>
        </is>
      </c>
      <c r="K72" s="14">
        <f>C72-1</f>
        <v/>
      </c>
      <c r="L72" s="14">
        <f>DEC2HEX(K72)</f>
        <v/>
      </c>
      <c r="M72" s="14">
        <f>CONCAT("0x",TEXT(K72,"0000"))</f>
        <v/>
      </c>
    </row>
    <row r="73" ht="18" customHeight="1">
      <c r="A73" s="19" t="inlineStr">
        <is>
          <t xml:space="preserve">  ↳ Gen #1 — Real Power (LSW)</t>
        </is>
      </c>
      <c r="B73" s="20" t="n"/>
      <c r="C73" s="21" t="n">
        <v>766</v>
      </c>
      <c r="D73" s="22" t="inlineStr">
        <is>
          <t>0x02FD</t>
        </is>
      </c>
      <c r="E73" s="20" t="n"/>
      <c r="F73" s="19" t="inlineStr">
        <is>
          <t>Low word — combine: value = (MSW &lt;&lt; 16) | LSW, then apply scaling + offset</t>
        </is>
      </c>
      <c r="G73" s="20" t="n"/>
      <c r="H73" s="20" t="n"/>
      <c r="I73" s="20" t="n"/>
      <c r="J73" s="23" t="inlineStr">
        <is>
          <t>P9</t>
        </is>
      </c>
      <c r="K73" s="20" t="n"/>
      <c r="L73" s="20" t="n"/>
      <c r="M73" s="20" t="n"/>
    </row>
    <row r="74" ht="60" customHeight="1">
      <c r="A74" s="8" t="inlineStr">
        <is>
          <t>Gen #1 — Breaker Status</t>
        </is>
      </c>
      <c r="B74" s="9" t="inlineStr">
        <is>
          <t>R</t>
        </is>
      </c>
      <c r="C74" s="9" t="n">
        <v>767</v>
      </c>
      <c r="D74" s="10" t="inlineStr">
        <is>
          <t>0x02FE</t>
        </is>
      </c>
      <c r="E74" s="9" t="n">
        <v>1</v>
      </c>
      <c r="F74" s="11" t="inlineStr">
        <is>
          <t>Gen #1 circuit breaker position</t>
        </is>
      </c>
      <c r="G74" s="11" t="inlineStr">
        <is>
          <t>0 = Open
1 = Closed
2 = Error
3 = N/A</t>
        </is>
      </c>
      <c r="H74" s="9" t="inlineStr"/>
      <c r="I74" s="12" t="inlineStr">
        <is>
          <t>0–3</t>
        </is>
      </c>
      <c r="J74" s="13" t="inlineStr">
        <is>
          <t>P9</t>
        </is>
      </c>
      <c r="K74" s="14">
        <f>C74-1</f>
        <v/>
      </c>
      <c r="L74" s="14">
        <f>DEC2HEX(K74)</f>
        <v/>
      </c>
      <c r="M74" s="14">
        <f>CONCAT("0x",TEXT(K74,"0000"))</f>
        <v/>
      </c>
    </row>
    <row r="75" ht="60" customHeight="1">
      <c r="A75" s="8" t="inlineStr">
        <is>
          <t>Gen #1 — Operating Mode</t>
        </is>
      </c>
      <c r="B75" s="9" t="inlineStr">
        <is>
          <t>R</t>
        </is>
      </c>
      <c r="C75" s="9" t="n">
        <v>768</v>
      </c>
      <c r="D75" s="10" t="inlineStr">
        <is>
          <t>0x02FF</t>
        </is>
      </c>
      <c r="E75" s="9" t="n">
        <v>1</v>
      </c>
      <c r="F75" s="11" t="inlineStr">
        <is>
          <t>Gen #1 operating mode</t>
        </is>
      </c>
      <c r="G75" s="11" t="inlineStr">
        <is>
          <t>0 = Off
1 = Manual
2 = Auto
3 = Test</t>
        </is>
      </c>
      <c r="H75" s="9" t="inlineStr"/>
      <c r="I75" s="12" t="inlineStr">
        <is>
          <t>0–3</t>
        </is>
      </c>
      <c r="J75" s="13" t="inlineStr">
        <is>
          <t>P9</t>
        </is>
      </c>
      <c r="K75" s="14">
        <f>C75-1</f>
        <v/>
      </c>
      <c r="L75" s="14">
        <f>DEC2HEX(K75)</f>
        <v/>
      </c>
      <c r="M75" s="14">
        <f>CONCAT("0x",TEXT(K75,"0000"))</f>
        <v/>
      </c>
    </row>
    <row r="76" ht="30" customHeight="1">
      <c r="A76" s="8" t="inlineStr">
        <is>
          <t>Gen #1 — Genset Available</t>
        </is>
      </c>
      <c r="B76" s="9" t="inlineStr">
        <is>
          <t>R</t>
        </is>
      </c>
      <c r="C76" s="9" t="n">
        <v>769</v>
      </c>
      <c r="D76" s="10" t="inlineStr">
        <is>
          <t>0x0300</t>
        </is>
      </c>
      <c r="E76" s="9" t="n">
        <v>1</v>
      </c>
      <c r="F76" s="11" t="inlineStr">
        <is>
          <t>Gen #1 availability</t>
        </is>
      </c>
      <c r="G76" s="11" t="inlineStr">
        <is>
          <t>0 = Not Available
1 = Available</t>
        </is>
      </c>
      <c r="H76" s="9" t="inlineStr"/>
      <c r="I76" s="12" t="inlineStr">
        <is>
          <t>0–1</t>
        </is>
      </c>
      <c r="J76" s="13" t="inlineStr">
        <is>
          <t>P9</t>
        </is>
      </c>
      <c r="K76" s="14">
        <f>C76-1</f>
        <v/>
      </c>
      <c r="L76" s="14">
        <f>DEC2HEX(K76)</f>
        <v/>
      </c>
      <c r="M76" s="14">
        <f>CONCAT("0x",TEXT(K76,"0000"))</f>
        <v/>
      </c>
    </row>
    <row r="77" ht="30" customHeight="1">
      <c r="A77" s="8" t="inlineStr">
        <is>
          <t>Gen #1 — Engine Run Status</t>
        </is>
      </c>
      <c r="B77" s="9" t="inlineStr">
        <is>
          <t>R</t>
        </is>
      </c>
      <c r="C77" s="9" t="n">
        <v>770</v>
      </c>
      <c r="D77" s="10" t="inlineStr">
        <is>
          <t>0x0301</t>
        </is>
      </c>
      <c r="E77" s="9" t="n">
        <v>1</v>
      </c>
      <c r="F77" s="11" t="inlineStr">
        <is>
          <t>Gen #1 engine running</t>
        </is>
      </c>
      <c r="G77" s="11" t="inlineStr">
        <is>
          <t>0 = Off
1 = Running</t>
        </is>
      </c>
      <c r="H77" s="9" t="inlineStr"/>
      <c r="I77" s="12" t="inlineStr">
        <is>
          <t>0–1</t>
        </is>
      </c>
      <c r="J77" s="13" t="inlineStr">
        <is>
          <t>P9</t>
        </is>
      </c>
      <c r="K77" s="14">
        <f>C77-1</f>
        <v/>
      </c>
      <c r="L77" s="14">
        <f>DEC2HEX(K77)</f>
        <v/>
      </c>
      <c r="M77" s="14">
        <f>CONCAT("0x",TEXT(K77,"0000"))</f>
        <v/>
      </c>
    </row>
    <row r="78" ht="18" customHeight="1">
      <c r="A78" s="8" t="inlineStr">
        <is>
          <t>Gen #1 — % Rated kW Load</t>
        </is>
      </c>
      <c r="B78" s="9" t="inlineStr">
        <is>
          <t>R</t>
        </is>
      </c>
      <c r="C78" s="9" t="n">
        <v>780</v>
      </c>
      <c r="D78" s="10" t="inlineStr">
        <is>
          <t>0x030B</t>
        </is>
      </c>
      <c r="E78" s="9" t="n">
        <v>1</v>
      </c>
      <c r="F78" s="11" t="inlineStr">
        <is>
          <t>Gen #1 percent of rated kW</t>
        </is>
      </c>
      <c r="G78" s="11" t="inlineStr">
        <is>
          <t>0.4 % / bit</t>
        </is>
      </c>
      <c r="H78" s="9" t="inlineStr">
        <is>
          <t>0 %</t>
        </is>
      </c>
      <c r="I78" s="12" t="inlineStr">
        <is>
          <t>0 to 100 %</t>
        </is>
      </c>
      <c r="J78" s="13" t="inlineStr">
        <is>
          <t>P9</t>
        </is>
      </c>
      <c r="K78" s="14">
        <f>C78-1</f>
        <v/>
      </c>
      <c r="L78" s="14">
        <f>DEC2HEX(K78)</f>
        <v/>
      </c>
      <c r="M78" s="14">
        <f>CONCAT("0x",TEXT(K78,"0000"))</f>
        <v/>
      </c>
    </row>
  </sheetData>
  <mergeCells count="12">
    <mergeCell ref="A2:F2"/>
    <mergeCell ref="G2:I2"/>
    <mergeCell ref="A43:I43"/>
    <mergeCell ref="A11:I11"/>
    <mergeCell ref="A1:I1"/>
    <mergeCell ref="A9:I9"/>
    <mergeCell ref="A58:I58"/>
    <mergeCell ref="A22:I22"/>
    <mergeCell ref="A4:I4"/>
    <mergeCell ref="A48:I48"/>
    <mergeCell ref="A30:I30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5" t="inlineStr">
        <is>
          <t>Version</t>
        </is>
      </c>
      <c r="B1" s="5" t="inlineStr">
        <is>
          <t>Change History</t>
        </is>
      </c>
      <c r="C1" s="5" t="inlineStr">
        <is>
          <t>Notes</t>
        </is>
      </c>
    </row>
    <row r="2">
      <c r="A2" s="20" t="inlineStr">
        <is>
          <t>v1.0</t>
        </is>
      </c>
      <c r="B2" s="20" t="inlineStr">
        <is>
          <t>Initial recommended register list — curated from LEBE23522-00 SCADA Manual</t>
        </is>
      </c>
      <c r="C2" s="20" t="inlineStr">
        <is>
          <t>ECS 200 v1.1 register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2026-04-15T21:08:10Z</dcterms:created>
  <dcterms:modified xsi:type="dcterms:W3CDTF">2026-04-15T21:08:10Z</dcterms:modified>
</cp:coreProperties>
</file>