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DA_Write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FFFFFFFF"/>
      <sz val="28"/>
    </font>
    <font>
      <name val="Calibri"/>
      <b val="1"/>
      <color rgb="FF1A1A1A"/>
      <sz val="16"/>
    </font>
    <font>
      <name val="Calibri"/>
      <b val="1"/>
      <color rgb="FFFFFFFF"/>
      <sz val="12"/>
    </font>
    <font>
      <name val="Calibri"/>
      <b val="1"/>
      <color rgb="FF1A1A1A"/>
      <sz val="12"/>
    </font>
    <font>
      <name val="Times New Roman"/>
      <b val="1"/>
      <sz val="11"/>
    </font>
    <font>
      <name val="Times New Roman"/>
      <sz val="11"/>
    </font>
    <font>
      <name val="Consolas"/>
      <color rgb="FF555555"/>
      <sz val="10"/>
    </font>
    <font>
      <name val="Consolas"/>
      <b val="1"/>
      <color rgb="FF17A2B8"/>
      <sz val="10"/>
    </font>
    <font>
      <name val="Calibri"/>
      <sz val="9"/>
    </font>
    <font>
      <name val="Times New Roman"/>
      <i val="1"/>
      <color rgb="FF888888"/>
      <sz val="10"/>
    </font>
    <font>
      <name val="Times New Roman"/>
      <color rgb="FF888888"/>
      <sz val="10"/>
    </font>
    <font>
      <name val="Consolas"/>
      <color rgb="FF888888"/>
      <sz val="10"/>
    </font>
    <font>
      <name val="Consolas"/>
      <color rgb="FFAAAAAA"/>
      <sz val="9"/>
    </font>
  </fonts>
  <fills count="8">
    <fill>
      <patternFill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FCD11"/>
        <bgColor rgb="FFFFCD11"/>
      </patternFill>
    </fill>
    <fill>
      <patternFill patternType="solid">
        <fgColor rgb="FF2C2C2C"/>
        <bgColor rgb="FF2C2C2C"/>
      </patternFill>
    </fill>
    <fill>
      <patternFill patternType="solid">
        <fgColor rgb="FFFCE4EC"/>
        <bgColor rgb="FFFCE4EC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A2B8"/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5" customWidth="1" min="5" max="5"/>
    <col width="60" customWidth="1" min="6" max="6"/>
    <col width="45" customWidth="1" min="7" max="7"/>
    <col width="20" customWidth="1" min="8" max="8"/>
    <col width="25" customWidth="1" min="9" max="9"/>
    <col width="30" customWidth="1" min="10" max="10"/>
    <col width="10" customWidth="1" min="11" max="11"/>
    <col width="10" customWidth="1" min="12" max="12"/>
    <col width="12" customWidth="1" min="13" max="13"/>
  </cols>
  <sheetData>
    <row r="1" ht="40" customHeight="1">
      <c r="A1" s="1" t="inlineStr">
        <is>
          <t>Cat® ECS 200 — Recommended SCADA Modbus Registers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DEVICE: ECS 200 Paralleling (200P)</t>
        </is>
      </c>
      <c r="B2" s="4" t="n"/>
      <c r="C2" s="4" t="n"/>
      <c r="D2" s="4" t="n"/>
      <c r="E2" s="4" t="n"/>
      <c r="F2" s="4" t="n"/>
      <c r="G2" s="3" t="inlineStr">
        <is>
          <t>PORT 50200 — WRITE Registers — Commands &amp; Setpoints (FC16)</t>
        </is>
      </c>
      <c r="H2" s="4" t="n"/>
      <c r="I2" s="4" t="n"/>
    </row>
    <row r="3" ht="35" customHeight="1">
      <c r="A3" s="5" t="inlineStr">
        <is>
          <t>Parameter Name</t>
        </is>
      </c>
      <c r="B3" s="5" t="inlineStr">
        <is>
          <t>R/W</t>
        </is>
      </c>
      <c r="C3" s="5" t="inlineStr">
        <is>
          <t>Holding Register</t>
        </is>
      </c>
      <c r="D3" s="5" t="inlineStr">
        <is>
          <t>Hex Addr</t>
        </is>
      </c>
      <c r="E3" s="5" t="inlineStr">
        <is>
          <t>Ct</t>
        </is>
      </c>
      <c r="F3" s="5" t="inlineStr">
        <is>
          <t>Description</t>
        </is>
      </c>
      <c r="G3" s="5" t="inlineStr">
        <is>
          <t>Scaling (Resolution)</t>
        </is>
      </c>
      <c r="H3" s="5" t="inlineStr">
        <is>
          <t>Offset</t>
        </is>
      </c>
      <c r="I3" s="5" t="inlineStr">
        <is>
          <t>Limits (Ranges)</t>
        </is>
      </c>
      <c r="J3" s="5" t="inlineStr">
        <is>
          <t>Block ID</t>
        </is>
      </c>
      <c r="K3" s="5" t="inlineStr">
        <is>
          <t>Addr-1</t>
        </is>
      </c>
      <c r="L3" s="5" t="inlineStr">
        <is>
          <t>Hex</t>
        </is>
      </c>
      <c r="M3" s="5" t="inlineStr">
        <is>
          <t>0x Addr</t>
        </is>
      </c>
    </row>
    <row r="4" ht="24" customHeight="1">
      <c r="A4" s="6" t="inlineStr">
        <is>
          <t>🚦 Alarm Acknowledge &amp; Reset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30" customHeight="1">
      <c r="A5" s="8" t="inlineStr">
        <is>
          <t>Alarm Acknowledge Command</t>
        </is>
      </c>
      <c r="B5" s="9" t="inlineStr">
        <is>
          <t>R</t>
        </is>
      </c>
      <c r="C5" s="9" t="n">
        <v>1</v>
      </c>
      <c r="D5" s="10" t="inlineStr">
        <is>
          <t>0x0000</t>
        </is>
      </c>
      <c r="E5" s="9" t="n">
        <v>1</v>
      </c>
      <c r="F5" s="11" t="inlineStr">
        <is>
          <t>Acknowledge active alarms</t>
        </is>
      </c>
      <c r="G5" s="11" t="inlineStr">
        <is>
          <t>0 = FALSE
1 = TRUE</t>
        </is>
      </c>
      <c r="H5" s="9" t="inlineStr"/>
      <c r="I5" s="12" t="inlineStr">
        <is>
          <t>0–1</t>
        </is>
      </c>
      <c r="J5" s="13" t="inlineStr">
        <is>
          <t>W-CMD</t>
        </is>
      </c>
      <c r="K5" s="14">
        <f>C5-1</f>
        <v/>
      </c>
      <c r="L5" s="14">
        <f>DEC2HEX(K5)</f>
        <v/>
      </c>
      <c r="M5" s="14">
        <f>CONCAT("0x",TEXT(K5,"0000"))</f>
        <v/>
      </c>
    </row>
    <row r="6" ht="30" customHeight="1">
      <c r="A6" s="8" t="inlineStr">
        <is>
          <t>Reset All Events Command</t>
        </is>
      </c>
      <c r="B6" s="9" t="inlineStr">
        <is>
          <t>R</t>
        </is>
      </c>
      <c r="C6" s="9" t="n">
        <v>2</v>
      </c>
      <c r="D6" s="10" t="inlineStr">
        <is>
          <t>0x0001</t>
        </is>
      </c>
      <c r="E6" s="9" t="n">
        <v>1</v>
      </c>
      <c r="F6" s="11" t="inlineStr">
        <is>
          <t>Reset all active events</t>
        </is>
      </c>
      <c r="G6" s="11" t="inlineStr">
        <is>
          <t>0 = FALSE
1 = TRUE</t>
        </is>
      </c>
      <c r="H6" s="9" t="inlineStr"/>
      <c r="I6" s="12" t="inlineStr">
        <is>
          <t>0–1</t>
        </is>
      </c>
      <c r="J6" s="13" t="inlineStr">
        <is>
          <t>W-CMD</t>
        </is>
      </c>
      <c r="K6" s="14">
        <f>C6-1</f>
        <v/>
      </c>
      <c r="L6" s="14">
        <f>DEC2HEX(K6)</f>
        <v/>
      </c>
      <c r="M6" s="14">
        <f>CONCAT("0x",TEXT(K6,"0000"))</f>
        <v/>
      </c>
    </row>
    <row r="7" ht="24" customHeight="1">
      <c r="A7" s="15" t="inlineStr">
        <is>
          <t>🔀 Mode &amp; Start/Stop Commands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 ht="18" customHeight="1">
      <c r="A8" s="8" t="inlineStr">
        <is>
          <t>Auto Mode Command</t>
        </is>
      </c>
      <c r="B8" s="9" t="inlineStr">
        <is>
          <t>R</t>
        </is>
      </c>
      <c r="C8" s="9" t="n">
        <v>102</v>
      </c>
      <c r="D8" s="10" t="inlineStr">
        <is>
          <t>0x0065</t>
        </is>
      </c>
      <c r="E8" s="9" t="n">
        <v>1</v>
      </c>
      <c r="F8" s="11" t="inlineStr">
        <is>
          <t>Command genset operating mode</t>
        </is>
      </c>
      <c r="G8" s="11" t="inlineStr">
        <is>
          <t>Enumerated mode commands</t>
        </is>
      </c>
      <c r="H8" s="9" t="inlineStr"/>
      <c r="I8" s="12" t="inlineStr">
        <is>
          <t>Enumerated</t>
        </is>
      </c>
      <c r="J8" s="13" t="inlineStr">
        <is>
          <t>W-CMD</t>
        </is>
      </c>
      <c r="K8" s="14">
        <f>C8-1</f>
        <v/>
      </c>
      <c r="L8" s="14">
        <f>DEC2HEX(K8)</f>
        <v/>
      </c>
      <c r="M8" s="14">
        <f>CONCAT("0x",TEXT(K8,"0000"))</f>
        <v/>
      </c>
    </row>
    <row r="9" ht="60" customHeight="1">
      <c r="A9" s="8" t="inlineStr">
        <is>
          <t>Start Command</t>
        </is>
      </c>
      <c r="B9" s="9" t="inlineStr">
        <is>
          <t>R</t>
        </is>
      </c>
      <c r="C9" s="9" t="n">
        <v>103</v>
      </c>
      <c r="D9" s="10" t="inlineStr">
        <is>
          <t>0x0066</t>
        </is>
      </c>
      <c r="E9" s="9" t="n">
        <v>1</v>
      </c>
      <c r="F9" s="11" t="inlineStr">
        <is>
          <t>Engine start command</t>
        </is>
      </c>
      <c r="G9" s="11" t="inlineStr">
        <is>
          <t>0 = Off
1 = Start
2 = Error
3 = N/A</t>
        </is>
      </c>
      <c r="H9" s="9" t="inlineStr"/>
      <c r="I9" s="12" t="inlineStr">
        <is>
          <t>0–3</t>
        </is>
      </c>
      <c r="J9" s="13" t="inlineStr">
        <is>
          <t>W-CMD</t>
        </is>
      </c>
      <c r="K9" s="14">
        <f>C9-1</f>
        <v/>
      </c>
      <c r="L9" s="14">
        <f>DEC2HEX(K9)</f>
        <v/>
      </c>
      <c r="M9" s="14">
        <f>CONCAT("0x",TEXT(K9,"0000"))</f>
        <v/>
      </c>
    </row>
    <row r="10" ht="60" customHeight="1">
      <c r="A10" s="8" t="inlineStr">
        <is>
          <t>Stop Command</t>
        </is>
      </c>
      <c r="B10" s="9" t="inlineStr">
        <is>
          <t>R</t>
        </is>
      </c>
      <c r="C10" s="9" t="n">
        <v>104</v>
      </c>
      <c r="D10" s="10" t="inlineStr">
        <is>
          <t>0x0067</t>
        </is>
      </c>
      <c r="E10" s="9" t="n">
        <v>1</v>
      </c>
      <c r="F10" s="11" t="inlineStr">
        <is>
          <t>Engine stop command</t>
        </is>
      </c>
      <c r="G10" s="11" t="inlineStr">
        <is>
          <t>0 = Off
1 = Stop
2 = Error
3 = N/A</t>
        </is>
      </c>
      <c r="H10" s="9" t="inlineStr"/>
      <c r="I10" s="12" t="inlineStr">
        <is>
          <t>0–3</t>
        </is>
      </c>
      <c r="J10" s="13" t="inlineStr">
        <is>
          <t>W-CMD</t>
        </is>
      </c>
      <c r="K10" s="14">
        <f>C10-1</f>
        <v/>
      </c>
      <c r="L10" s="14">
        <f>DEC2HEX(K10)</f>
        <v/>
      </c>
      <c r="M10" s="14">
        <f>CONCAT("0x",TEXT(K10,"0000"))</f>
        <v/>
      </c>
    </row>
    <row r="11" ht="24" customHeight="1">
      <c r="A11" s="17" t="inlineStr">
        <is>
          <t>⚖️ Setpoint Commands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  <row r="12" ht="18" customHeight="1">
      <c r="A12" s="8" t="inlineStr">
        <is>
          <t>Base Load Setpoint (kW)</t>
        </is>
      </c>
      <c r="B12" s="9" t="inlineStr">
        <is>
          <t>R</t>
        </is>
      </c>
      <c r="C12" s="9" t="n">
        <v>6</v>
      </c>
      <c r="D12" s="10" t="inlineStr">
        <is>
          <t>0x0005</t>
        </is>
      </c>
      <c r="E12" s="9" t="n">
        <v>2</v>
      </c>
      <c r="F12" s="11" t="inlineStr">
        <is>
          <t>Target base load real power setpoint</t>
        </is>
      </c>
      <c r="G12" s="11" t="inlineStr">
        <is>
          <t>1 W / bit</t>
        </is>
      </c>
      <c r="H12" s="9" t="inlineStr">
        <is>
          <t>-2000000000 W</t>
        </is>
      </c>
      <c r="I12" s="12" t="inlineStr">
        <is>
          <t>-2B to +2.21B W</t>
        </is>
      </c>
      <c r="J12" s="13" t="inlineStr">
        <is>
          <t>W-SET</t>
        </is>
      </c>
      <c r="K12" s="14">
        <f>C12-1</f>
        <v/>
      </c>
      <c r="L12" s="14">
        <f>DEC2HEX(K12)</f>
        <v/>
      </c>
      <c r="M12" s="14">
        <f>CONCAT("0x",TEXT(K12,"0000"))</f>
        <v/>
      </c>
    </row>
    <row r="13" ht="18" customHeight="1">
      <c r="A13" s="19" t="inlineStr">
        <is>
          <t xml:space="preserve">  ↳ Base Load Setpoint (kW) (LSW)</t>
        </is>
      </c>
      <c r="B13" s="20" t="n"/>
      <c r="C13" s="21" t="n">
        <v>7</v>
      </c>
      <c r="D13" s="22" t="inlineStr">
        <is>
          <t>0x0006</t>
        </is>
      </c>
      <c r="E13" s="20" t="n"/>
      <c r="F13" s="19" t="inlineStr">
        <is>
          <t>Low word — combine: value = (MSW &lt;&lt; 16) | LSW, then apply scaling + offset</t>
        </is>
      </c>
      <c r="G13" s="20" t="n"/>
      <c r="H13" s="20" t="n"/>
      <c r="I13" s="20" t="n"/>
      <c r="J13" s="23" t="inlineStr">
        <is>
          <t>W-SET</t>
        </is>
      </c>
      <c r="K13" s="20" t="n"/>
      <c r="L13" s="20" t="n"/>
      <c r="M13" s="20" t="n"/>
    </row>
    <row r="14" ht="18" customHeight="1">
      <c r="A14" s="8" t="inlineStr">
        <is>
          <t>Base PF Setpoint</t>
        </is>
      </c>
      <c r="B14" s="9" t="inlineStr">
        <is>
          <t>R</t>
        </is>
      </c>
      <c r="C14" s="9" t="n">
        <v>8</v>
      </c>
      <c r="D14" s="10" t="inlineStr">
        <is>
          <t>0x0007</t>
        </is>
      </c>
      <c r="E14" s="9" t="n">
        <v>2</v>
      </c>
      <c r="F14" s="11" t="inlineStr">
        <is>
          <t>Target base power factor setpoint</t>
        </is>
      </c>
      <c r="G14" s="11" t="inlineStr">
        <is>
          <t>1/16384 / bit</t>
        </is>
      </c>
      <c r="H14" s="9" t="inlineStr">
        <is>
          <t>-2</t>
        </is>
      </c>
      <c r="I14" s="12" t="inlineStr">
        <is>
          <t>-2.0 to +2.0</t>
        </is>
      </c>
      <c r="J14" s="13" t="inlineStr">
        <is>
          <t>W-SET</t>
        </is>
      </c>
      <c r="K14" s="14">
        <f>C14-1</f>
        <v/>
      </c>
      <c r="L14" s="14">
        <f>DEC2HEX(K14)</f>
        <v/>
      </c>
      <c r="M14" s="14">
        <f>CONCAT("0x",TEXT(K14,"0000"))</f>
        <v/>
      </c>
    </row>
    <row r="15" ht="18" customHeight="1">
      <c r="A15" s="19" t="inlineStr">
        <is>
          <t xml:space="preserve">  ↳ Base PF Setpoint (LSW)</t>
        </is>
      </c>
      <c r="B15" s="20" t="n"/>
      <c r="C15" s="21" t="n">
        <v>9</v>
      </c>
      <c r="D15" s="22" t="inlineStr">
        <is>
          <t>0x0008</t>
        </is>
      </c>
      <c r="E15" s="20" t="n"/>
      <c r="F15" s="19" t="inlineStr">
        <is>
          <t>Low word — combine: value = (MSW &lt;&lt; 16) | LSW, then apply scaling + offset</t>
        </is>
      </c>
      <c r="G15" s="20" t="n"/>
      <c r="H15" s="20" t="n"/>
      <c r="I15" s="20" t="n"/>
      <c r="J15" s="23" t="inlineStr">
        <is>
          <t>W-SET</t>
        </is>
      </c>
      <c r="K15" s="20" t="n"/>
      <c r="L15" s="20" t="n"/>
      <c r="M15" s="20" t="n"/>
    </row>
    <row r="16" ht="18" customHeight="1">
      <c r="A16" s="8" t="inlineStr">
        <is>
          <t>Base VAR Setpoint</t>
        </is>
      </c>
      <c r="B16" s="9" t="inlineStr">
        <is>
          <t>R</t>
        </is>
      </c>
      <c r="C16" s="9" t="n">
        <v>10</v>
      </c>
      <c r="D16" s="10" t="inlineStr">
        <is>
          <t>0x0009</t>
        </is>
      </c>
      <c r="E16" s="9" t="n">
        <v>2</v>
      </c>
      <c r="F16" s="11" t="inlineStr">
        <is>
          <t>Target base reactive power setpoint</t>
        </is>
      </c>
      <c r="G16" s="11" t="inlineStr">
        <is>
          <t>1 VAr / bit</t>
        </is>
      </c>
      <c r="H16" s="9" t="inlineStr">
        <is>
          <t>-2000000000 VAr</t>
        </is>
      </c>
      <c r="I16" s="12" t="inlineStr">
        <is>
          <t>-2B to +2.21B VAr</t>
        </is>
      </c>
      <c r="J16" s="13" t="inlineStr">
        <is>
          <t>W-SET</t>
        </is>
      </c>
      <c r="K16" s="14">
        <f>C16-1</f>
        <v/>
      </c>
      <c r="L16" s="14">
        <f>DEC2HEX(K16)</f>
        <v/>
      </c>
      <c r="M16" s="14">
        <f>CONCAT("0x",TEXT(K16,"0000"))</f>
        <v/>
      </c>
    </row>
    <row r="17" ht="18" customHeight="1">
      <c r="A17" s="19" t="inlineStr">
        <is>
          <t xml:space="preserve">  ↳ Base VAR Setpoint (LSW)</t>
        </is>
      </c>
      <c r="B17" s="20" t="n"/>
      <c r="C17" s="21" t="n">
        <v>11</v>
      </c>
      <c r="D17" s="22" t="inlineStr">
        <is>
          <t>0x000A</t>
        </is>
      </c>
      <c r="E17" s="20" t="n"/>
      <c r="F17" s="19" t="inlineStr">
        <is>
          <t>Low word — combine: value = (MSW &lt;&lt; 16) | LSW, then apply scaling + offset</t>
        </is>
      </c>
      <c r="G17" s="20" t="n"/>
      <c r="H17" s="20" t="n"/>
      <c r="I17" s="20" t="n"/>
      <c r="J17" s="23" t="inlineStr">
        <is>
          <t>W-SET</t>
        </is>
      </c>
      <c r="K17" s="20" t="n"/>
      <c r="L17" s="20" t="n"/>
      <c r="M17" s="20" t="n"/>
    </row>
    <row r="18" ht="18" customHeight="1">
      <c r="A18" s="8" t="inlineStr">
        <is>
          <t>Base Frequency Setpoint</t>
        </is>
      </c>
      <c r="B18" s="9" t="inlineStr">
        <is>
          <t>R</t>
        </is>
      </c>
      <c r="C18" s="9" t="n">
        <v>12</v>
      </c>
      <c r="D18" s="10" t="inlineStr">
        <is>
          <t>0x000B</t>
        </is>
      </c>
      <c r="E18" s="9" t="n">
        <v>2</v>
      </c>
      <c r="F18" s="11" t="inlineStr">
        <is>
          <t>Target frequency bias setpoint</t>
        </is>
      </c>
      <c r="G18" s="11" t="inlineStr">
        <is>
          <t>1/128 Hz / bit</t>
        </is>
      </c>
      <c r="H18" s="9" t="inlineStr">
        <is>
          <t>0 Hz</t>
        </is>
      </c>
      <c r="I18" s="12" t="inlineStr">
        <is>
          <t>0 to 501.99 Hz</t>
        </is>
      </c>
      <c r="J18" s="13" t="inlineStr">
        <is>
          <t>W-SET</t>
        </is>
      </c>
      <c r="K18" s="14">
        <f>C18-1</f>
        <v/>
      </c>
      <c r="L18" s="14">
        <f>DEC2HEX(K18)</f>
        <v/>
      </c>
      <c r="M18" s="14">
        <f>CONCAT("0x",TEXT(K18,"0000"))</f>
        <v/>
      </c>
    </row>
    <row r="19" ht="18" customHeight="1">
      <c r="A19" s="19" t="inlineStr">
        <is>
          <t xml:space="preserve">  ↳ Base Frequency Setpoint (LSW)</t>
        </is>
      </c>
      <c r="B19" s="20" t="n"/>
      <c r="C19" s="21" t="n">
        <v>13</v>
      </c>
      <c r="D19" s="22" t="inlineStr">
        <is>
          <t>0x000C</t>
        </is>
      </c>
      <c r="E19" s="20" t="n"/>
      <c r="F19" s="19" t="inlineStr">
        <is>
          <t>Low word — combine: value = (MSW &lt;&lt; 16) | LSW, then apply scaling + offset</t>
        </is>
      </c>
      <c r="G19" s="20" t="n"/>
      <c r="H19" s="20" t="n"/>
      <c r="I19" s="20" t="n"/>
      <c r="J19" s="23" t="inlineStr">
        <is>
          <t>W-SET</t>
        </is>
      </c>
      <c r="K19" s="20" t="n"/>
      <c r="L19" s="20" t="n"/>
      <c r="M19" s="20" t="n"/>
    </row>
    <row r="20" ht="18" customHeight="1">
      <c r="A20" s="8" t="inlineStr">
        <is>
          <t>Base Voltage Setpoint</t>
        </is>
      </c>
      <c r="B20" s="9" t="inlineStr">
        <is>
          <t>R</t>
        </is>
      </c>
      <c r="C20" s="9" t="n">
        <v>14</v>
      </c>
      <c r="D20" s="10" t="inlineStr">
        <is>
          <t>0x000D</t>
        </is>
      </c>
      <c r="E20" s="9" t="n">
        <v>2</v>
      </c>
      <c r="F20" s="11" t="inlineStr">
        <is>
          <t>Target voltage bias setpoint</t>
        </is>
      </c>
      <c r="G20" s="11" t="inlineStr">
        <is>
          <t>1/128 V / bit</t>
        </is>
      </c>
      <c r="H20" s="9" t="inlineStr">
        <is>
          <t>0 V</t>
        </is>
      </c>
      <c r="I20" s="12" t="inlineStr">
        <is>
          <t>0 to 511.99 V</t>
        </is>
      </c>
      <c r="J20" s="13" t="inlineStr">
        <is>
          <t>W-SET</t>
        </is>
      </c>
      <c r="K20" s="14">
        <f>C20-1</f>
        <v/>
      </c>
      <c r="L20" s="14">
        <f>DEC2HEX(K20)</f>
        <v/>
      </c>
      <c r="M20" s="14">
        <f>CONCAT("0x",TEXT(K20,"0000"))</f>
        <v/>
      </c>
    </row>
    <row r="21" ht="18" customHeight="1">
      <c r="A21" s="19" t="inlineStr">
        <is>
          <t xml:space="preserve">  ↳ Base Voltage Setpoint (LSW)</t>
        </is>
      </c>
      <c r="B21" s="20" t="n"/>
      <c r="C21" s="21" t="n">
        <v>15</v>
      </c>
      <c r="D21" s="22" t="inlineStr">
        <is>
          <t>0x000E</t>
        </is>
      </c>
      <c r="E21" s="20" t="n"/>
      <c r="F21" s="19" t="inlineStr">
        <is>
          <t>Low word — combine: value = (MSW &lt;&lt; 16) | LSW, then apply scaling + offset</t>
        </is>
      </c>
      <c r="G21" s="20" t="n"/>
      <c r="H21" s="20" t="n"/>
      <c r="I21" s="20" t="n"/>
      <c r="J21" s="23" t="inlineStr">
        <is>
          <t>W-SET</t>
        </is>
      </c>
      <c r="K21" s="20" t="n"/>
      <c r="L21" s="20" t="n"/>
      <c r="M21" s="20" t="n"/>
    </row>
  </sheetData>
  <mergeCells count="6">
    <mergeCell ref="A2:F2"/>
    <mergeCell ref="G2:I2"/>
    <mergeCell ref="A7:I7"/>
    <mergeCell ref="A11:I11"/>
    <mergeCell ref="A1:I1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88888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s="5" t="inlineStr">
        <is>
          <t>Version</t>
        </is>
      </c>
      <c r="B1" s="5" t="inlineStr">
        <is>
          <t>Change History</t>
        </is>
      </c>
      <c r="C1" s="5" t="inlineStr">
        <is>
          <t>Notes</t>
        </is>
      </c>
    </row>
    <row r="2">
      <c r="A2" s="20" t="inlineStr">
        <is>
          <t>v1.0</t>
        </is>
      </c>
      <c r="B2" s="20" t="inlineStr">
        <is>
          <t>Initial recommended register list — curated from LEBE23522-00 SCADA Manual</t>
        </is>
      </c>
      <c r="C2" s="20" t="inlineStr">
        <is>
          <t>ECS 200 v1.1 register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2026-04-15T21:08:10Z</dcterms:created>
  <dcterms:modified xsi:type="dcterms:W3CDTF">2026-04-15T21:08:10Z</dcterms:modified>
</cp:coreProperties>
</file>