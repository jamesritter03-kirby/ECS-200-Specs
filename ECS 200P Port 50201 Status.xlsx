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ADA_Read" sheetId="1" state="visible" r:id="rId1"/>
    <sheet name="Change 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FFFFFFFF"/>
      <sz val="28"/>
    </font>
    <font>
      <name val="Calibri"/>
      <b val="1"/>
      <color rgb="FF1A1A1A"/>
      <sz val="16"/>
    </font>
    <font>
      <name val="Calibri"/>
      <b val="1"/>
      <color rgb="FFFFFFFF"/>
      <sz val="12"/>
    </font>
    <font>
      <name val="Calibri"/>
      <b val="1"/>
      <color rgb="FF1A1A1A"/>
      <sz val="12"/>
    </font>
    <font>
      <name val="Times New Roman"/>
      <b val="1"/>
      <sz val="11"/>
    </font>
    <font>
      <name val="Times New Roman"/>
      <sz val="11"/>
    </font>
    <font>
      <name val="Consolas"/>
      <color rgb="FF555555"/>
      <sz val="10"/>
    </font>
    <font>
      <name val="Consolas"/>
      <b val="1"/>
      <color rgb="FF17A2B8"/>
      <sz val="10"/>
    </font>
    <font>
      <name val="Calibri"/>
      <sz val="9"/>
    </font>
  </fonts>
  <fills count="8">
    <fill>
      <patternFill/>
    </fill>
    <fill>
      <patternFill patternType="gray125"/>
    </fill>
    <fill>
      <patternFill patternType="solid">
        <fgColor rgb="FF1A1A1A"/>
        <bgColor rgb="FF1A1A1A"/>
      </patternFill>
    </fill>
    <fill>
      <patternFill patternType="solid">
        <fgColor rgb="FFFFCD11"/>
        <bgColor rgb="FFFFCD11"/>
      </patternFill>
    </fill>
    <fill>
      <patternFill patternType="solid">
        <fgColor rgb="FF2C2C2C"/>
        <bgColor rgb="FF2C2C2C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FCE4EC"/>
        <bgColor rgb="FFFCE4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0" fillId="5" borderId="1" pivotButton="0" quotePrefix="0" xfId="0"/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1" pivotButton="0" quotePrefix="0" xfId="0"/>
    <xf numFmtId="0" fontId="4" fillId="6" borderId="1" applyAlignment="1" pivotButton="0" quotePrefix="0" xfId="0">
      <alignment horizontal="left" vertical="center" wrapText="1"/>
    </xf>
    <xf numFmtId="0" fontId="0" fillId="6" borderId="1" pivotButton="0" quotePrefix="0" xfId="0"/>
    <xf numFmtId="0" fontId="4" fillId="7" borderId="1" applyAlignment="1" pivotButton="0" quotePrefix="0" xfId="0">
      <alignment horizontal="left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7A2B8"/>
    <outlinePr summaryBelow="1" summaryRight="1"/>
    <pageSetUpPr/>
  </sheetPr>
  <dimension ref="A1:M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6" customWidth="1" min="2" max="2"/>
    <col width="10" customWidth="1" min="3" max="3"/>
    <col width="10" customWidth="1" min="4" max="4"/>
    <col width="5" customWidth="1" min="5" max="5"/>
    <col width="60" customWidth="1" min="6" max="6"/>
    <col width="45" customWidth="1" min="7" max="7"/>
    <col width="20" customWidth="1" min="8" max="8"/>
    <col width="25" customWidth="1" min="9" max="9"/>
    <col width="30" customWidth="1" min="10" max="10"/>
    <col width="10" customWidth="1" min="11" max="11"/>
    <col width="10" customWidth="1" min="12" max="12"/>
    <col width="12" customWidth="1" min="13" max="13"/>
  </cols>
  <sheetData>
    <row r="1" ht="40" customHeight="1">
      <c r="A1" s="1" t="inlineStr">
        <is>
          <t>Cat® ECS 200 — Recommended SCADA Modbus Registers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30" customHeight="1">
      <c r="A2" s="3" t="inlineStr">
        <is>
          <t>DEVICE: ECS 200 Paralleling (200P)</t>
        </is>
      </c>
      <c r="B2" s="4" t="n"/>
      <c r="C2" s="4" t="n"/>
      <c r="D2" s="4" t="n"/>
      <c r="E2" s="4" t="n"/>
      <c r="F2" s="4" t="n"/>
      <c r="G2" s="3" t="inlineStr">
        <is>
          <t>PORT 50201 — READ Registers — Module Status &amp; Annunciator</t>
        </is>
      </c>
      <c r="H2" s="4" t="n"/>
      <c r="I2" s="4" t="n"/>
    </row>
    <row r="3" ht="35" customHeight="1">
      <c r="A3" s="5" t="inlineStr">
        <is>
          <t>Parameter Name</t>
        </is>
      </c>
      <c r="B3" s="5" t="inlineStr">
        <is>
          <t>R/W</t>
        </is>
      </c>
      <c r="C3" s="5" t="inlineStr">
        <is>
          <t>Holding Register</t>
        </is>
      </c>
      <c r="D3" s="5" t="inlineStr">
        <is>
          <t>Hex Addr</t>
        </is>
      </c>
      <c r="E3" s="5" t="inlineStr">
        <is>
          <t>Ct</t>
        </is>
      </c>
      <c r="F3" s="5" t="inlineStr">
        <is>
          <t>Description</t>
        </is>
      </c>
      <c r="G3" s="5" t="inlineStr">
        <is>
          <t>Scaling (Resolution)</t>
        </is>
      </c>
      <c r="H3" s="5" t="inlineStr">
        <is>
          <t>Offset</t>
        </is>
      </c>
      <c r="I3" s="5" t="inlineStr">
        <is>
          <t>Limits (Ranges)</t>
        </is>
      </c>
      <c r="J3" s="5" t="inlineStr">
        <is>
          <t>Block ID</t>
        </is>
      </c>
      <c r="K3" s="5" t="inlineStr">
        <is>
          <t>Addr-1</t>
        </is>
      </c>
      <c r="L3" s="5" t="inlineStr">
        <is>
          <t>Hex</t>
        </is>
      </c>
      <c r="M3" s="5" t="inlineStr">
        <is>
          <t>0x Addr</t>
        </is>
      </c>
    </row>
    <row r="4" ht="24" customHeight="1">
      <c r="A4" s="6" t="inlineStr">
        <is>
          <t>🌐 BLOCK S1 — Read(1, 2) — Module Online Status</t>
        </is>
      </c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</row>
    <row r="5" ht="30" customHeight="1">
      <c r="A5" s="8" t="inlineStr">
        <is>
          <t>Paralleling Controller Online</t>
        </is>
      </c>
      <c r="B5" s="9" t="inlineStr">
        <is>
          <t>R</t>
        </is>
      </c>
      <c r="C5" s="9" t="n">
        <v>1</v>
      </c>
      <c r="D5" s="10" t="inlineStr">
        <is>
          <t>0x0000</t>
        </is>
      </c>
      <c r="E5" s="9" t="n">
        <v>1</v>
      </c>
      <c r="F5" s="11" t="inlineStr">
        <is>
          <t>Whether the paralleling controller is on the network (always True for self)</t>
        </is>
      </c>
      <c r="G5" s="11" t="inlineStr">
        <is>
          <t>0 = Offline
1 = Online</t>
        </is>
      </c>
      <c r="H5" s="9" t="inlineStr"/>
      <c r="I5" s="12" t="inlineStr">
        <is>
          <t>0–1</t>
        </is>
      </c>
      <c r="J5" s="13" t="inlineStr">
        <is>
          <t>S1</t>
        </is>
      </c>
      <c r="K5" s="14">
        <f>C5-1</f>
        <v/>
      </c>
      <c r="L5" s="14">
        <f>DEC2HEX(K5)</f>
        <v/>
      </c>
      <c r="M5" s="14">
        <f>CONCAT("0x",TEXT(K5,"0000"))</f>
        <v/>
      </c>
    </row>
    <row r="6" ht="30" customHeight="1">
      <c r="A6" s="8" t="inlineStr">
        <is>
          <t>Engine ECM Online</t>
        </is>
      </c>
      <c r="B6" s="9" t="inlineStr">
        <is>
          <t>R</t>
        </is>
      </c>
      <c r="C6" s="9" t="n">
        <v>2</v>
      </c>
      <c r="D6" s="10" t="inlineStr">
        <is>
          <t>0x0001</t>
        </is>
      </c>
      <c r="E6" s="9" t="n">
        <v>1</v>
      </c>
      <c r="F6" s="11" t="inlineStr">
        <is>
          <t>Whether the engine ECM is communicating via CAN</t>
        </is>
      </c>
      <c r="G6" s="11" t="inlineStr">
        <is>
          <t>0 = Offline
1 = Online</t>
        </is>
      </c>
      <c r="H6" s="9" t="inlineStr"/>
      <c r="I6" s="12" t="inlineStr">
        <is>
          <t>0–1</t>
        </is>
      </c>
      <c r="J6" s="13" t="inlineStr">
        <is>
          <t>S1</t>
        </is>
      </c>
      <c r="K6" s="14">
        <f>C6-1</f>
        <v/>
      </c>
      <c r="L6" s="14">
        <f>DEC2HEX(K6)</f>
        <v/>
      </c>
      <c r="M6" s="14">
        <f>CONCAT("0x",TEXT(K6,"0000"))</f>
        <v/>
      </c>
    </row>
    <row r="7" ht="24" customHeight="1">
      <c r="A7" s="15" t="inlineStr">
        <is>
          <t>📊 BLOCK S2 — Read(16, 1) — Active Event Counts</t>
        </is>
      </c>
      <c r="B7" s="16" t="n"/>
      <c r="C7" s="16" t="n"/>
      <c r="D7" s="16" t="n"/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</row>
    <row r="8" ht="18" customHeight="1">
      <c r="A8" s="8" t="inlineStr">
        <is>
          <t>Number of Active Events — Genset Controller</t>
        </is>
      </c>
      <c r="B8" s="9" t="inlineStr">
        <is>
          <t>R</t>
        </is>
      </c>
      <c r="C8" s="9" t="n">
        <v>16</v>
      </c>
      <c r="D8" s="10" t="inlineStr">
        <is>
          <t>0x000F</t>
        </is>
      </c>
      <c r="E8" s="9" t="n">
        <v>1</v>
      </c>
      <c r="F8" s="11" t="inlineStr">
        <is>
          <t>Count of currently active events on genset controller</t>
        </is>
      </c>
      <c r="G8" s="11" t="inlineStr">
        <is>
          <t>1 / bit</t>
        </is>
      </c>
      <c r="H8" s="9" t="inlineStr">
        <is>
          <t>0</t>
        </is>
      </c>
      <c r="I8" s="12" t="inlineStr">
        <is>
          <t>0 to 65535</t>
        </is>
      </c>
      <c r="J8" s="13" t="inlineStr">
        <is>
          <t>S2</t>
        </is>
      </c>
      <c r="K8" s="14">
        <f>C8-1</f>
        <v/>
      </c>
      <c r="L8" s="14">
        <f>DEC2HEX(K8)</f>
        <v/>
      </c>
      <c r="M8" s="14">
        <f>CONCAT("0x",TEXT(K8,"0000"))</f>
        <v/>
      </c>
    </row>
    <row r="9" ht="24" customHeight="1">
      <c r="A9" s="17" t="inlineStr">
        <is>
          <t>🔔 BLOCK S3 — Read(611, 23) — Annunciator Status Points</t>
        </is>
      </c>
      <c r="B9" s="18" t="n"/>
      <c r="C9" s="18" t="n"/>
      <c r="D9" s="18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</row>
    <row r="10" ht="18" customHeight="1">
      <c r="A10" s="8" t="inlineStr">
        <is>
          <t>E-Stop Active</t>
        </is>
      </c>
      <c r="B10" s="9" t="inlineStr">
        <is>
          <t>R</t>
        </is>
      </c>
      <c r="C10" s="9" t="n">
        <v>611</v>
      </c>
      <c r="D10" s="10" t="inlineStr">
        <is>
          <t>0x0262</t>
        </is>
      </c>
      <c r="E10" s="9" t="n">
        <v>1</v>
      </c>
      <c r="F10" s="11" t="inlineStr">
        <is>
          <t>Engine Auxiliary Switch Status (Emergency Stop) — RED</t>
        </is>
      </c>
      <c r="G10" s="11" t="inlineStr">
        <is>
          <t>0 = FALSE, 1 = TRUE</t>
        </is>
      </c>
      <c r="H10" s="9" t="inlineStr"/>
      <c r="I10" s="12" t="inlineStr">
        <is>
          <t>0–1</t>
        </is>
      </c>
      <c r="J10" s="13" t="inlineStr">
        <is>
          <t>S3</t>
        </is>
      </c>
      <c r="K10" s="14">
        <f>C10-1</f>
        <v/>
      </c>
      <c r="L10" s="14">
        <f>DEC2HEX(K10)</f>
        <v/>
      </c>
      <c r="M10" s="14">
        <f>CONCAT("0x",TEXT(K10,"0000"))</f>
        <v/>
      </c>
    </row>
    <row r="11" ht="18" customHeight="1">
      <c r="A11" s="8" t="inlineStr">
        <is>
          <t>Generator Not In Auto Warning</t>
        </is>
      </c>
      <c r="B11" s="9" t="inlineStr">
        <is>
          <t>R</t>
        </is>
      </c>
      <c r="C11" s="9" t="n">
        <v>612</v>
      </c>
      <c r="D11" s="10" t="inlineStr">
        <is>
          <t>0x0263</t>
        </is>
      </c>
      <c r="E11" s="9" t="n">
        <v>1</v>
      </c>
      <c r="F11" s="11" t="inlineStr">
        <is>
          <t>Generator control not in automatic mode — AMBER</t>
        </is>
      </c>
      <c r="G11" s="11" t="inlineStr">
        <is>
          <t>0 = FALSE, 1 = TRUE</t>
        </is>
      </c>
      <c r="H11" s="9" t="inlineStr"/>
      <c r="I11" s="12" t="inlineStr">
        <is>
          <t>0–1</t>
        </is>
      </c>
      <c r="J11" s="13" t="inlineStr">
        <is>
          <t>S3</t>
        </is>
      </c>
      <c r="K11" s="14">
        <f>C11-1</f>
        <v/>
      </c>
      <c r="L11" s="14">
        <f>DEC2HEX(K11)</f>
        <v/>
      </c>
      <c r="M11" s="14">
        <f>CONCAT("0x",TEXT(K11,"0000"))</f>
        <v/>
      </c>
    </row>
    <row r="12" ht="18" customHeight="1">
      <c r="A12" s="8" t="inlineStr">
        <is>
          <t>Overcrank (Failure to Start)</t>
        </is>
      </c>
      <c r="B12" s="9" t="inlineStr">
        <is>
          <t>R</t>
        </is>
      </c>
      <c r="C12" s="9" t="n">
        <v>613</v>
      </c>
      <c r="D12" s="10" t="inlineStr">
        <is>
          <t>0x0264</t>
        </is>
      </c>
      <c r="E12" s="9" t="n">
        <v>1</v>
      </c>
      <c r="F12" s="11" t="inlineStr">
        <is>
          <t>Engine failed to start within crank time — RED</t>
        </is>
      </c>
      <c r="G12" s="11" t="inlineStr">
        <is>
          <t>0 = FALSE, 1 = TRUE</t>
        </is>
      </c>
      <c r="H12" s="9" t="inlineStr"/>
      <c r="I12" s="12" t="inlineStr">
        <is>
          <t>0–1</t>
        </is>
      </c>
      <c r="J12" s="13" t="inlineStr">
        <is>
          <t>S3</t>
        </is>
      </c>
      <c r="K12" s="14">
        <f>C12-1</f>
        <v/>
      </c>
      <c r="L12" s="14">
        <f>DEC2HEX(K12)</f>
        <v/>
      </c>
      <c r="M12" s="14">
        <f>CONCAT("0x",TEXT(K12,"0000"))</f>
        <v/>
      </c>
    </row>
    <row r="13" ht="18" customHeight="1">
      <c r="A13" s="8" t="inlineStr">
        <is>
          <t>Overspeed</t>
        </is>
      </c>
      <c r="B13" s="9" t="inlineStr">
        <is>
          <t>R</t>
        </is>
      </c>
      <c r="C13" s="9" t="n">
        <v>614</v>
      </c>
      <c r="D13" s="10" t="inlineStr">
        <is>
          <t>0x0265</t>
        </is>
      </c>
      <c r="E13" s="9" t="n">
        <v>1</v>
      </c>
      <c r="F13" s="11" t="inlineStr">
        <is>
          <t>Engine overspeed detected — RED</t>
        </is>
      </c>
      <c r="G13" s="11" t="inlineStr">
        <is>
          <t>0 = FALSE, 1 = TRUE</t>
        </is>
      </c>
      <c r="H13" s="9" t="inlineStr"/>
      <c r="I13" s="12" t="inlineStr">
        <is>
          <t>0–1</t>
        </is>
      </c>
      <c r="J13" s="13" t="inlineStr">
        <is>
          <t>S3</t>
        </is>
      </c>
      <c r="K13" s="14">
        <f>C13-1</f>
        <v/>
      </c>
      <c r="L13" s="14">
        <f>DEC2HEX(K13)</f>
        <v/>
      </c>
      <c r="M13" s="14">
        <f>CONCAT("0x",TEXT(K13,"0000"))</f>
        <v/>
      </c>
    </row>
    <row r="14" ht="18" customHeight="1">
      <c r="A14" s="8" t="inlineStr">
        <is>
          <t>EPS Supplying Load</t>
        </is>
      </c>
      <c r="B14" s="9" t="inlineStr">
        <is>
          <t>R</t>
        </is>
      </c>
      <c r="C14" s="9" t="n">
        <v>615</v>
      </c>
      <c r="D14" s="10" t="inlineStr">
        <is>
          <t>0x0266</t>
        </is>
      </c>
      <c r="E14" s="9" t="n">
        <v>1</v>
      </c>
      <c r="F14" s="11" t="inlineStr">
        <is>
          <t>Emergency Power Supply is active — GREEN</t>
        </is>
      </c>
      <c r="G14" s="11" t="inlineStr">
        <is>
          <t>0 = FALSE, 1 = TRUE</t>
        </is>
      </c>
      <c r="H14" s="9" t="inlineStr"/>
      <c r="I14" s="12" t="inlineStr">
        <is>
          <t>0–1</t>
        </is>
      </c>
      <c r="J14" s="13" t="inlineStr">
        <is>
          <t>S3</t>
        </is>
      </c>
      <c r="K14" s="14">
        <f>C14-1</f>
        <v/>
      </c>
      <c r="L14" s="14">
        <f>DEC2HEX(K14)</f>
        <v/>
      </c>
      <c r="M14" s="14">
        <f>CONCAT("0x",TEXT(K14,"0000"))</f>
        <v/>
      </c>
    </row>
    <row r="15" ht="18" customHeight="1">
      <c r="A15" s="8" t="inlineStr">
        <is>
          <t>Overload / Load Shed Contact</t>
        </is>
      </c>
      <c r="B15" s="9" t="inlineStr">
        <is>
          <t>R</t>
        </is>
      </c>
      <c r="C15" s="9" t="n">
        <v>616</v>
      </c>
      <c r="D15" s="10" t="inlineStr">
        <is>
          <t>0x0267</t>
        </is>
      </c>
      <c r="E15" s="9" t="n">
        <v>1</v>
      </c>
      <c r="F15" s="11" t="inlineStr">
        <is>
          <t>Overload alarm or load shed active — AMBER</t>
        </is>
      </c>
      <c r="G15" s="11" t="inlineStr">
        <is>
          <t>0 = FALSE, 1 = TRUE</t>
        </is>
      </c>
      <c r="H15" s="9" t="inlineStr"/>
      <c r="I15" s="12" t="inlineStr">
        <is>
          <t>0–1</t>
        </is>
      </c>
      <c r="J15" s="13" t="inlineStr">
        <is>
          <t>S3</t>
        </is>
      </c>
      <c r="K15" s="14">
        <f>C15-1</f>
        <v/>
      </c>
      <c r="L15" s="14">
        <f>DEC2HEX(K15)</f>
        <v/>
      </c>
      <c r="M15" s="14">
        <f>CONCAT("0x",TEXT(K15,"0000"))</f>
        <v/>
      </c>
    </row>
    <row r="16" ht="18" customHeight="1">
      <c r="A16" s="8" t="inlineStr">
        <is>
          <t>High Coolant Temperature (Warning)</t>
        </is>
      </c>
      <c r="B16" s="9" t="inlineStr">
        <is>
          <t>R</t>
        </is>
      </c>
      <c r="C16" s="9" t="n">
        <v>617</v>
      </c>
      <c r="D16" s="10" t="inlineStr">
        <is>
          <t>0x0268</t>
        </is>
      </c>
      <c r="E16" s="9" t="n">
        <v>1</v>
      </c>
      <c r="F16" s="11" t="inlineStr">
        <is>
          <t>Coolant temp warning threshold — AMBER</t>
        </is>
      </c>
      <c r="G16" s="11" t="inlineStr">
        <is>
          <t>0 = FALSE, 1 = TRUE</t>
        </is>
      </c>
      <c r="H16" s="9" t="inlineStr"/>
      <c r="I16" s="12" t="inlineStr">
        <is>
          <t>0–1</t>
        </is>
      </c>
      <c r="J16" s="13" t="inlineStr">
        <is>
          <t>S3</t>
        </is>
      </c>
      <c r="K16" s="14">
        <f>C16-1</f>
        <v/>
      </c>
      <c r="L16" s="14">
        <f>DEC2HEX(K16)</f>
        <v/>
      </c>
      <c r="M16" s="14">
        <f>CONCAT("0x",TEXT(K16,"0000"))</f>
        <v/>
      </c>
    </row>
    <row r="17" ht="18" customHeight="1">
      <c r="A17" s="8" t="inlineStr">
        <is>
          <t>High Coolant Temperature (Shutdown)</t>
        </is>
      </c>
      <c r="B17" s="9" t="inlineStr">
        <is>
          <t>R</t>
        </is>
      </c>
      <c r="C17" s="9" t="n">
        <v>618</v>
      </c>
      <c r="D17" s="10" t="inlineStr">
        <is>
          <t>0x0269</t>
        </is>
      </c>
      <c r="E17" s="9" t="n">
        <v>1</v>
      </c>
      <c r="F17" s="11" t="inlineStr">
        <is>
          <t>Coolant temp shutdown threshold — RED</t>
        </is>
      </c>
      <c r="G17" s="11" t="inlineStr">
        <is>
          <t>0 = FALSE, 1 = TRUE</t>
        </is>
      </c>
      <c r="H17" s="9" t="inlineStr"/>
      <c r="I17" s="12" t="inlineStr">
        <is>
          <t>0–1</t>
        </is>
      </c>
      <c r="J17" s="13" t="inlineStr">
        <is>
          <t>S3</t>
        </is>
      </c>
      <c r="K17" s="14">
        <f>C17-1</f>
        <v/>
      </c>
      <c r="L17" s="14">
        <f>DEC2HEX(K17)</f>
        <v/>
      </c>
      <c r="M17" s="14">
        <f>CONCAT("0x",TEXT(K17,"0000"))</f>
        <v/>
      </c>
    </row>
    <row r="18" ht="18" customHeight="1">
      <c r="A18" s="8" t="inlineStr">
        <is>
          <t>Low Coolant Temperature Warning</t>
        </is>
      </c>
      <c r="B18" s="9" t="inlineStr">
        <is>
          <t>R</t>
        </is>
      </c>
      <c r="C18" s="9" t="n">
        <v>619</v>
      </c>
      <c r="D18" s="10" t="inlineStr">
        <is>
          <t>0x026A</t>
        </is>
      </c>
      <c r="E18" s="9" t="n">
        <v>1</v>
      </c>
      <c r="F18" s="11" t="inlineStr">
        <is>
          <t>Coolant temp low warning — AMBER</t>
        </is>
      </c>
      <c r="G18" s="11" t="inlineStr">
        <is>
          <t>0 = FALSE, 1 = TRUE</t>
        </is>
      </c>
      <c r="H18" s="9" t="inlineStr"/>
      <c r="I18" s="12" t="inlineStr">
        <is>
          <t>0–1</t>
        </is>
      </c>
      <c r="J18" s="13" t="inlineStr">
        <is>
          <t>S3</t>
        </is>
      </c>
      <c r="K18" s="14">
        <f>C18-1</f>
        <v/>
      </c>
      <c r="L18" s="14">
        <f>DEC2HEX(K18)</f>
        <v/>
      </c>
      <c r="M18" s="14">
        <f>CONCAT("0x",TEXT(K18,"0000"))</f>
        <v/>
      </c>
    </row>
    <row r="19" ht="18" customHeight="1">
      <c r="A19" s="8" t="inlineStr">
        <is>
          <t>Low Cranking Voltage Warning</t>
        </is>
      </c>
      <c r="B19" s="9" t="inlineStr">
        <is>
          <t>R</t>
        </is>
      </c>
      <c r="C19" s="9" t="n">
        <v>620</v>
      </c>
      <c r="D19" s="10" t="inlineStr">
        <is>
          <t>0x026B</t>
        </is>
      </c>
      <c r="E19" s="9" t="n">
        <v>1</v>
      </c>
      <c r="F19" s="11" t="inlineStr">
        <is>
          <t>Battery voltage too low for cranking — AMBER</t>
        </is>
      </c>
      <c r="G19" s="11" t="inlineStr">
        <is>
          <t>0 = FALSE, 1 = TRUE</t>
        </is>
      </c>
      <c r="H19" s="9" t="inlineStr"/>
      <c r="I19" s="12" t="inlineStr">
        <is>
          <t>0–1</t>
        </is>
      </c>
      <c r="J19" s="13" t="inlineStr">
        <is>
          <t>S3</t>
        </is>
      </c>
      <c r="K19" s="14">
        <f>C19-1</f>
        <v/>
      </c>
      <c r="L19" s="14">
        <f>DEC2HEX(K19)</f>
        <v/>
      </c>
      <c r="M19" s="14">
        <f>CONCAT("0x",TEXT(K19,"0000"))</f>
        <v/>
      </c>
    </row>
    <row r="20" ht="18" customHeight="1">
      <c r="A20" s="8" t="inlineStr">
        <is>
          <t>Air Damper Shutdown</t>
        </is>
      </c>
      <c r="B20" s="9" t="inlineStr">
        <is>
          <t>R</t>
        </is>
      </c>
      <c r="C20" s="9" t="n">
        <v>621</v>
      </c>
      <c r="D20" s="10" t="inlineStr">
        <is>
          <t>0x026C</t>
        </is>
      </c>
      <c r="E20" s="9" t="n">
        <v>1</v>
      </c>
      <c r="F20" s="11" t="inlineStr">
        <is>
          <t>Air damper failure shutdown — RED</t>
        </is>
      </c>
      <c r="G20" s="11" t="inlineStr">
        <is>
          <t>0 = FALSE, 1 = TRUE</t>
        </is>
      </c>
      <c r="H20" s="9" t="inlineStr"/>
      <c r="I20" s="12" t="inlineStr">
        <is>
          <t>0–1</t>
        </is>
      </c>
      <c r="J20" s="13" t="inlineStr">
        <is>
          <t>S3</t>
        </is>
      </c>
      <c r="K20" s="14">
        <f>C20-1</f>
        <v/>
      </c>
      <c r="L20" s="14">
        <f>DEC2HEX(K20)</f>
        <v/>
      </c>
      <c r="M20" s="14">
        <f>CONCAT("0x",TEXT(K20,"0000"))</f>
        <v/>
      </c>
    </row>
    <row r="21" ht="18" customHeight="1">
      <c r="A21" s="8" t="inlineStr">
        <is>
          <t>High Battery Voltage (Warning)</t>
        </is>
      </c>
      <c r="B21" s="9" t="inlineStr">
        <is>
          <t>R</t>
        </is>
      </c>
      <c r="C21" s="9" t="n">
        <v>622</v>
      </c>
      <c r="D21" s="10" t="inlineStr">
        <is>
          <t>0x026D</t>
        </is>
      </c>
      <c r="E21" s="9" t="n">
        <v>1</v>
      </c>
      <c r="F21" s="11" t="inlineStr">
        <is>
          <t>Battery voltage high warning — AMBER</t>
        </is>
      </c>
      <c r="G21" s="11" t="inlineStr">
        <is>
          <t>0 = FALSE, 1 = TRUE</t>
        </is>
      </c>
      <c r="H21" s="9" t="inlineStr"/>
      <c r="I21" s="12" t="inlineStr">
        <is>
          <t>0–1</t>
        </is>
      </c>
      <c r="J21" s="13" t="inlineStr">
        <is>
          <t>S3</t>
        </is>
      </c>
      <c r="K21" s="14">
        <f>C21-1</f>
        <v/>
      </c>
      <c r="L21" s="14">
        <f>DEC2HEX(K21)</f>
        <v/>
      </c>
      <c r="M21" s="14">
        <f>CONCAT("0x",TEXT(K21,"0000"))</f>
        <v/>
      </c>
    </row>
    <row r="22" ht="18" customHeight="1">
      <c r="A22" s="8" t="inlineStr">
        <is>
          <t>High Battery Voltage (Shutdown)</t>
        </is>
      </c>
      <c r="B22" s="9" t="inlineStr">
        <is>
          <t>R</t>
        </is>
      </c>
      <c r="C22" s="9" t="n">
        <v>623</v>
      </c>
      <c r="D22" s="10" t="inlineStr">
        <is>
          <t>0x026E</t>
        </is>
      </c>
      <c r="E22" s="9" t="n">
        <v>1</v>
      </c>
      <c r="F22" s="11" t="inlineStr">
        <is>
          <t>Battery voltage high shutdown — RED</t>
        </is>
      </c>
      <c r="G22" s="11" t="inlineStr">
        <is>
          <t>0 = FALSE, 1 = TRUE</t>
        </is>
      </c>
      <c r="H22" s="9" t="inlineStr"/>
      <c r="I22" s="12" t="inlineStr">
        <is>
          <t>0–1</t>
        </is>
      </c>
      <c r="J22" s="13" t="inlineStr">
        <is>
          <t>S3</t>
        </is>
      </c>
      <c r="K22" s="14">
        <f>C22-1</f>
        <v/>
      </c>
      <c r="L22" s="14">
        <f>DEC2HEX(K22)</f>
        <v/>
      </c>
      <c r="M22" s="14">
        <f>CONCAT("0x",TEXT(K22,"0000"))</f>
        <v/>
      </c>
    </row>
    <row r="23" ht="18" customHeight="1">
      <c r="A23" s="8" t="inlineStr">
        <is>
          <t>Low Battery Voltage Warning</t>
        </is>
      </c>
      <c r="B23" s="9" t="inlineStr">
        <is>
          <t>R</t>
        </is>
      </c>
      <c r="C23" s="9" t="n">
        <v>624</v>
      </c>
      <c r="D23" s="10" t="inlineStr">
        <is>
          <t>0x026F</t>
        </is>
      </c>
      <c r="E23" s="9" t="n">
        <v>1</v>
      </c>
      <c r="F23" s="11" t="inlineStr">
        <is>
          <t>Battery voltage low warning — AMBER</t>
        </is>
      </c>
      <c r="G23" s="11" t="inlineStr">
        <is>
          <t>0 = FALSE, 1 = TRUE</t>
        </is>
      </c>
      <c r="H23" s="9" t="inlineStr"/>
      <c r="I23" s="12" t="inlineStr">
        <is>
          <t>0–1</t>
        </is>
      </c>
      <c r="J23" s="13" t="inlineStr">
        <is>
          <t>S3</t>
        </is>
      </c>
      <c r="K23" s="14">
        <f>C23-1</f>
        <v/>
      </c>
      <c r="L23" s="14">
        <f>DEC2HEX(K23)</f>
        <v/>
      </c>
      <c r="M23" s="14">
        <f>CONCAT("0x",TEXT(K23,"0000"))</f>
        <v/>
      </c>
    </row>
    <row r="24" ht="18" customHeight="1">
      <c r="A24" s="8" t="inlineStr">
        <is>
          <t>Low Oil Pressure (Warning)</t>
        </is>
      </c>
      <c r="B24" s="9" t="inlineStr">
        <is>
          <t>R</t>
        </is>
      </c>
      <c r="C24" s="9" t="n">
        <v>625</v>
      </c>
      <c r="D24" s="10" t="inlineStr">
        <is>
          <t>0x0270</t>
        </is>
      </c>
      <c r="E24" s="9" t="n">
        <v>1</v>
      </c>
      <c r="F24" s="11" t="inlineStr">
        <is>
          <t>Oil pressure low warning — AMBER</t>
        </is>
      </c>
      <c r="G24" s="11" t="inlineStr">
        <is>
          <t>0 = FALSE, 1 = TRUE</t>
        </is>
      </c>
      <c r="H24" s="9" t="inlineStr"/>
      <c r="I24" s="12" t="inlineStr">
        <is>
          <t>0–1</t>
        </is>
      </c>
      <c r="J24" s="13" t="inlineStr">
        <is>
          <t>S3</t>
        </is>
      </c>
      <c r="K24" s="14">
        <f>C24-1</f>
        <v/>
      </c>
      <c r="L24" s="14">
        <f>DEC2HEX(K24)</f>
        <v/>
      </c>
      <c r="M24" s="14">
        <f>CONCAT("0x",TEXT(K24,"0000"))</f>
        <v/>
      </c>
    </row>
    <row r="25" ht="18" customHeight="1">
      <c r="A25" s="8" t="inlineStr">
        <is>
          <t>Low Oil Pressure (Shutdown)</t>
        </is>
      </c>
      <c r="B25" s="9" t="inlineStr">
        <is>
          <t>R</t>
        </is>
      </c>
      <c r="C25" s="9" t="n">
        <v>626</v>
      </c>
      <c r="D25" s="10" t="inlineStr">
        <is>
          <t>0x0271</t>
        </is>
      </c>
      <c r="E25" s="9" t="n">
        <v>1</v>
      </c>
      <c r="F25" s="11" t="inlineStr">
        <is>
          <t>Oil pressure low shutdown — RED</t>
        </is>
      </c>
      <c r="G25" s="11" t="inlineStr">
        <is>
          <t>0 = FALSE, 1 = TRUE</t>
        </is>
      </c>
      <c r="H25" s="9" t="inlineStr"/>
      <c r="I25" s="12" t="inlineStr">
        <is>
          <t>0–1</t>
        </is>
      </c>
      <c r="J25" s="13" t="inlineStr">
        <is>
          <t>S3</t>
        </is>
      </c>
      <c r="K25" s="14">
        <f>C25-1</f>
        <v/>
      </c>
      <c r="L25" s="14">
        <f>DEC2HEX(K25)</f>
        <v/>
      </c>
      <c r="M25" s="14">
        <f>CONCAT("0x",TEXT(K25,"0000"))</f>
        <v/>
      </c>
    </row>
    <row r="26" ht="18" customHeight="1">
      <c r="A26" s="8" t="inlineStr">
        <is>
          <t>Low Coolant Level (Warning)</t>
        </is>
      </c>
      <c r="B26" s="9" t="inlineStr">
        <is>
          <t>R</t>
        </is>
      </c>
      <c r="C26" s="9" t="n">
        <v>627</v>
      </c>
      <c r="D26" s="10" t="inlineStr">
        <is>
          <t>0x0272</t>
        </is>
      </c>
      <c r="E26" s="9" t="n">
        <v>1</v>
      </c>
      <c r="F26" s="11" t="inlineStr">
        <is>
          <t>Coolant level low warning — AMBER</t>
        </is>
      </c>
      <c r="G26" s="11" t="inlineStr">
        <is>
          <t>0 = FALSE, 1 = TRUE</t>
        </is>
      </c>
      <c r="H26" s="9" t="inlineStr"/>
      <c r="I26" s="12" t="inlineStr">
        <is>
          <t>0–1</t>
        </is>
      </c>
      <c r="J26" s="13" t="inlineStr">
        <is>
          <t>S3</t>
        </is>
      </c>
      <c r="K26" s="14">
        <f>C26-1</f>
        <v/>
      </c>
      <c r="L26" s="14">
        <f>DEC2HEX(K26)</f>
        <v/>
      </c>
      <c r="M26" s="14">
        <f>CONCAT("0x",TEXT(K26,"0000"))</f>
        <v/>
      </c>
    </row>
    <row r="27" ht="18" customHeight="1">
      <c r="A27" s="8" t="inlineStr">
        <is>
          <t>Low Coolant Level (Shutdown)</t>
        </is>
      </c>
      <c r="B27" s="9" t="inlineStr">
        <is>
          <t>R</t>
        </is>
      </c>
      <c r="C27" s="9" t="n">
        <v>628</v>
      </c>
      <c r="D27" s="10" t="inlineStr">
        <is>
          <t>0x0273</t>
        </is>
      </c>
      <c r="E27" s="9" t="n">
        <v>1</v>
      </c>
      <c r="F27" s="11" t="inlineStr">
        <is>
          <t>Coolant level low shutdown — RED</t>
        </is>
      </c>
      <c r="G27" s="11" t="inlineStr">
        <is>
          <t>0 = FALSE, 1 = TRUE</t>
        </is>
      </c>
      <c r="H27" s="9" t="inlineStr"/>
      <c r="I27" s="12" t="inlineStr">
        <is>
          <t>0–1</t>
        </is>
      </c>
      <c r="J27" s="13" t="inlineStr">
        <is>
          <t>S3</t>
        </is>
      </c>
      <c r="K27" s="14">
        <f>C27-1</f>
        <v/>
      </c>
      <c r="L27" s="14">
        <f>DEC2HEX(K27)</f>
        <v/>
      </c>
      <c r="M27" s="14">
        <f>CONCAT("0x",TEXT(K27,"0000"))</f>
        <v/>
      </c>
    </row>
    <row r="28" ht="18" customHeight="1">
      <c r="A28" s="8" t="inlineStr">
        <is>
          <t>Low Fuel Level (Warning)</t>
        </is>
      </c>
      <c r="B28" s="9" t="inlineStr">
        <is>
          <t>R</t>
        </is>
      </c>
      <c r="C28" s="9" t="n">
        <v>629</v>
      </c>
      <c r="D28" s="10" t="inlineStr">
        <is>
          <t>0x0274</t>
        </is>
      </c>
      <c r="E28" s="9" t="n">
        <v>1</v>
      </c>
      <c r="F28" s="11" t="inlineStr">
        <is>
          <t>Fuel level low warning — AMBER</t>
        </is>
      </c>
      <c r="G28" s="11" t="inlineStr">
        <is>
          <t>0 = FALSE, 1 = TRUE</t>
        </is>
      </c>
      <c r="H28" s="9" t="inlineStr"/>
      <c r="I28" s="12" t="inlineStr">
        <is>
          <t>0–1</t>
        </is>
      </c>
      <c r="J28" s="13" t="inlineStr">
        <is>
          <t>S3</t>
        </is>
      </c>
      <c r="K28" s="14">
        <f>C28-1</f>
        <v/>
      </c>
      <c r="L28" s="14">
        <f>DEC2HEX(K28)</f>
        <v/>
      </c>
      <c r="M28" s="14">
        <f>CONCAT("0x",TEXT(K28,"0000"))</f>
        <v/>
      </c>
    </row>
    <row r="29" ht="18" customHeight="1">
      <c r="A29" s="8" t="inlineStr">
        <is>
          <t>Low Fuel Level (Shutdown)</t>
        </is>
      </c>
      <c r="B29" s="9" t="inlineStr">
        <is>
          <t>R</t>
        </is>
      </c>
      <c r="C29" s="9" t="n">
        <v>630</v>
      </c>
      <c r="D29" s="10" t="inlineStr">
        <is>
          <t>0x0275</t>
        </is>
      </c>
      <c r="E29" s="9" t="n">
        <v>1</v>
      </c>
      <c r="F29" s="11" t="inlineStr">
        <is>
          <t>Fuel level low shutdown — RED</t>
        </is>
      </c>
      <c r="G29" s="11" t="inlineStr">
        <is>
          <t>0 = FALSE, 1 = TRUE</t>
        </is>
      </c>
      <c r="H29" s="9" t="inlineStr"/>
      <c r="I29" s="12" t="inlineStr">
        <is>
          <t>0–1</t>
        </is>
      </c>
      <c r="J29" s="13" t="inlineStr">
        <is>
          <t>S3</t>
        </is>
      </c>
      <c r="K29" s="14">
        <f>C29-1</f>
        <v/>
      </c>
      <c r="L29" s="14">
        <f>DEC2HEX(K29)</f>
        <v/>
      </c>
      <c r="M29" s="14">
        <f>CONCAT("0x",TEXT(K29,"0000"))</f>
        <v/>
      </c>
    </row>
    <row r="30" ht="18" customHeight="1">
      <c r="A30" s="8" t="inlineStr">
        <is>
          <t>Battery Charger AC Failure</t>
        </is>
      </c>
      <c r="B30" s="9" t="inlineStr">
        <is>
          <t>R</t>
        </is>
      </c>
      <c r="C30" s="9" t="n">
        <v>631</v>
      </c>
      <c r="D30" s="10" t="inlineStr">
        <is>
          <t>0x0276</t>
        </is>
      </c>
      <c r="E30" s="9" t="n">
        <v>1</v>
      </c>
      <c r="F30" s="11" t="inlineStr">
        <is>
          <t>Battery charger AC supply failure — AMBER</t>
        </is>
      </c>
      <c r="G30" s="11" t="inlineStr">
        <is>
          <t>0 = FALSE, 1 = TRUE</t>
        </is>
      </c>
      <c r="H30" s="9" t="inlineStr"/>
      <c r="I30" s="12" t="inlineStr">
        <is>
          <t>0–1</t>
        </is>
      </c>
      <c r="J30" s="13" t="inlineStr">
        <is>
          <t>S3</t>
        </is>
      </c>
      <c r="K30" s="14">
        <f>C30-1</f>
        <v/>
      </c>
      <c r="L30" s="14">
        <f>DEC2HEX(K30)</f>
        <v/>
      </c>
      <c r="M30" s="14">
        <f>CONCAT("0x",TEXT(K30,"0000"))</f>
        <v/>
      </c>
    </row>
    <row r="31" ht="18" customHeight="1">
      <c r="A31" s="8" t="inlineStr">
        <is>
          <t>SCR SPN 4792 (Warning)</t>
        </is>
      </c>
      <c r="B31" s="9" t="inlineStr">
        <is>
          <t>R</t>
        </is>
      </c>
      <c r="C31" s="9" t="n">
        <v>632</v>
      </c>
      <c r="D31" s="10" t="inlineStr">
        <is>
          <t>0x0277</t>
        </is>
      </c>
      <c r="E31" s="9" t="n">
        <v>1</v>
      </c>
      <c r="F31" s="11" t="inlineStr">
        <is>
          <t>SCR aftertreatment warning — AMBER</t>
        </is>
      </c>
      <c r="G31" s="11" t="inlineStr">
        <is>
          <t>0 = FALSE, 1 = TRUE</t>
        </is>
      </c>
      <c r="H31" s="9" t="inlineStr"/>
      <c r="I31" s="12" t="inlineStr">
        <is>
          <t>0–1</t>
        </is>
      </c>
      <c r="J31" s="13" t="inlineStr">
        <is>
          <t>S3</t>
        </is>
      </c>
      <c r="K31" s="14">
        <f>C31-1</f>
        <v/>
      </c>
      <c r="L31" s="14">
        <f>DEC2HEX(K31)</f>
        <v/>
      </c>
      <c r="M31" s="14">
        <f>CONCAT("0x",TEXT(K31,"0000"))</f>
        <v/>
      </c>
    </row>
    <row r="32" ht="18" customHeight="1">
      <c r="A32" s="8" t="inlineStr">
        <is>
          <t>SCR SPN 4792 (Shutdown)</t>
        </is>
      </c>
      <c r="B32" s="9" t="inlineStr">
        <is>
          <t>R</t>
        </is>
      </c>
      <c r="C32" s="9" t="n">
        <v>633</v>
      </c>
      <c r="D32" s="10" t="inlineStr">
        <is>
          <t>0x0278</t>
        </is>
      </c>
      <c r="E32" s="9" t="n">
        <v>1</v>
      </c>
      <c r="F32" s="11" t="inlineStr">
        <is>
          <t>SCR aftertreatment shutdown — RED</t>
        </is>
      </c>
      <c r="G32" s="11" t="inlineStr">
        <is>
          <t>0 = FALSE, 1 = TRUE</t>
        </is>
      </c>
      <c r="H32" s="9" t="inlineStr"/>
      <c r="I32" s="12" t="inlineStr">
        <is>
          <t>0–1</t>
        </is>
      </c>
      <c r="J32" s="13" t="inlineStr">
        <is>
          <t>S3</t>
        </is>
      </c>
      <c r="K32" s="14">
        <f>C32-1</f>
        <v/>
      </c>
      <c r="L32" s="14">
        <f>DEC2HEX(K32)</f>
        <v/>
      </c>
      <c r="M32" s="14">
        <f>CONCAT("0x",TEXT(K32,"0000"))</f>
        <v/>
      </c>
    </row>
  </sheetData>
  <mergeCells count="6">
    <mergeCell ref="A2:F2"/>
    <mergeCell ref="G2:I2"/>
    <mergeCell ref="A7:I7"/>
    <mergeCell ref="A1:I1"/>
    <mergeCell ref="A9:I9"/>
    <mergeCell ref="A4:I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88888"/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2" customWidth="1" min="1" max="1"/>
    <col width="80" customWidth="1" min="2" max="2"/>
    <col width="30" customWidth="1" min="3" max="3"/>
  </cols>
  <sheetData>
    <row r="1">
      <c r="A1" s="5" t="inlineStr">
        <is>
          <t>Version</t>
        </is>
      </c>
      <c r="B1" s="5" t="inlineStr">
        <is>
          <t>Change History</t>
        </is>
      </c>
      <c r="C1" s="5" t="inlineStr">
        <is>
          <t>Notes</t>
        </is>
      </c>
    </row>
    <row r="2">
      <c r="A2" s="19" t="inlineStr">
        <is>
          <t>v1.0</t>
        </is>
      </c>
      <c r="B2" s="19" t="inlineStr">
        <is>
          <t>Initial recommended register list — curated from LEBE23522-00 SCADA Manual</t>
        </is>
      </c>
      <c r="C2" s="19" t="inlineStr">
        <is>
          <t>ECS 200 v1.1 register list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2026-04-15T21:08:10Z</dcterms:created>
  <dcterms:modified xsi:type="dcterms:W3CDTF">2026-04-15T21:08:10Z</dcterms:modified>
</cp:coreProperties>
</file>